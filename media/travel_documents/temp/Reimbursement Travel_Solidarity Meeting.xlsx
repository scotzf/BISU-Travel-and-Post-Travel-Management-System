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rogel\OneDrive\Desktop\First Sem 2025-2026\"/>
    </mc:Choice>
  </mc:AlternateContent>
  <bookViews>
    <workbookView xWindow="0" yWindow="0" windowWidth="23040" windowHeight="10236" tabRatio="865"/>
  </bookViews>
  <sheets>
    <sheet name="IT (2)" sheetId="11" r:id="rId1"/>
    <sheet name="CTC (2)" sheetId="10" r:id="rId2"/>
    <sheet name="DV (2)" sheetId="1" r:id="rId3"/>
    <sheet name="burs r 3 (2)" sheetId="17" r:id="rId4"/>
    <sheet name="obs r 3" sheetId="6" state="hidden" r:id="rId5"/>
    <sheet name="IT" sheetId="3" state="hidden" r:id="rId6"/>
    <sheet name="Certification 1" sheetId="8" state="hidden" r:id="rId7"/>
    <sheet name="burs 3" sheetId="14" state="hidden" r:id="rId8"/>
    <sheet name="Certification ('1) (2)" sheetId="16" r:id="rId9"/>
    <sheet name="Certification ('1) (3)" sheetId="19" r:id="rId10"/>
    <sheet name="Certification (2)" sheetId="15" state="hidden" r:id="rId11"/>
    <sheet name="Certification ('1)" sheetId="12" state="hidden" r:id="rId12"/>
    <sheet name="ORS" sheetId="2" state="hidden" r:id="rId13"/>
    <sheet name="Source" sheetId="7" state="hidden" r:id="rId14"/>
  </sheets>
  <definedNames>
    <definedName name="_xlnm.Print_Area" localSheetId="7">'burs 3'!$A$1:$M$56</definedName>
    <definedName name="_xlnm.Print_Area" localSheetId="3">'burs r 3 (2)'!$A$1:$M$55</definedName>
    <definedName name="_xlnm.Print_Area" localSheetId="11">'Certification (''1)'!$A$1:$I$55</definedName>
    <definedName name="_xlnm.Print_Area" localSheetId="8">'Certification (''1) (2)'!$A$1:$I$55</definedName>
    <definedName name="_xlnm.Print_Area" localSheetId="9">'Certification (''1) (3)'!$A$1:$I$55</definedName>
    <definedName name="_xlnm.Print_Area" localSheetId="10">'Certification (2)'!$A$1:$I$55</definedName>
    <definedName name="_xlnm.Print_Area" localSheetId="6">'Certification 1'!$A$1:$I$55</definedName>
    <definedName name="_xlnm.Print_Area" localSheetId="2">'DV (2)'!$A$1:$AG$59</definedName>
    <definedName name="_xlnm.Print_Area" localSheetId="5">IT!$A$1:$J$48</definedName>
    <definedName name="_xlnm.Print_Area" localSheetId="0">'IT (2)'!$A$1:$J$54</definedName>
    <definedName name="_xlnm.Print_Area" localSheetId="4">'obs r 3'!$A$1:$M$55</definedName>
    <definedName name="_xlnm.Print_Area" localSheetId="12">ORS!$A$1:$M$62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6" i="19" l="1"/>
  <c r="H44" i="19"/>
  <c r="H36" i="19"/>
  <c r="D26" i="19"/>
  <c r="D54" i="19" s="1"/>
  <c r="H16" i="19"/>
  <c r="C8" i="19"/>
  <c r="D24" i="19" s="1"/>
  <c r="C36" i="19" l="1"/>
  <c r="D52" i="19" s="1"/>
  <c r="H36" i="16"/>
  <c r="A46" i="16"/>
  <c r="D17" i="14"/>
  <c r="B46" i="17"/>
  <c r="D8" i="17"/>
  <c r="J19" i="11"/>
  <c r="J40" i="11" l="1"/>
  <c r="A46" i="12"/>
  <c r="L9" i="15"/>
  <c r="A41" i="15" l="1"/>
  <c r="H41" i="15"/>
  <c r="A42" i="15"/>
  <c r="H42" i="15"/>
  <c r="D26" i="16"/>
  <c r="D54" i="16" s="1"/>
  <c r="H16" i="16"/>
  <c r="H43" i="15"/>
  <c r="H40" i="15"/>
  <c r="A40" i="15"/>
  <c r="D26" i="15"/>
  <c r="D54" i="15" s="1"/>
  <c r="H16" i="15"/>
  <c r="H44" i="15" l="1"/>
  <c r="H44" i="16"/>
  <c r="B47" i="14" l="1"/>
  <c r="D8" i="14"/>
  <c r="A29" i="1" l="1"/>
  <c r="C35" i="14" l="1"/>
  <c r="C35" i="17"/>
  <c r="D26" i="12"/>
  <c r="D54" i="12" s="1"/>
  <c r="H16" i="12"/>
  <c r="L14" i="11"/>
  <c r="A11" i="11"/>
  <c r="B10" i="11"/>
  <c r="E43" i="11"/>
  <c r="O14" i="3"/>
  <c r="L40" i="11" l="1"/>
  <c r="N40" i="11" s="1"/>
  <c r="B46" i="6"/>
  <c r="H44" i="12"/>
  <c r="AE19" i="1"/>
  <c r="H22" i="3"/>
  <c r="J22" i="3" s="1"/>
  <c r="M28" i="3"/>
  <c r="H19" i="3"/>
  <c r="J25" i="3"/>
  <c r="M23" i="3"/>
  <c r="L22" i="3"/>
  <c r="F13" i="3"/>
  <c r="B60" i="2"/>
  <c r="A58" i="2"/>
  <c r="H43" i="8" l="1"/>
  <c r="H42" i="8"/>
  <c r="D26" i="8"/>
  <c r="D54" i="8" s="1"/>
  <c r="H16" i="8"/>
  <c r="H44" i="8" l="1"/>
  <c r="A46" i="8"/>
  <c r="G9" i="3" l="1"/>
  <c r="A11" i="3" l="1"/>
  <c r="B10" i="3"/>
  <c r="D6" i="2" l="1"/>
  <c r="C35" i="6" l="1"/>
  <c r="A44" i="3" l="1"/>
  <c r="G24" i="19" s="1"/>
  <c r="G52" i="19" s="1"/>
  <c r="J28" i="3"/>
  <c r="J32" i="3"/>
  <c r="G24" i="16" l="1"/>
  <c r="G52" i="16" s="1"/>
  <c r="G24" i="15"/>
  <c r="G52" i="15" s="1"/>
  <c r="G24" i="8"/>
  <c r="G52" i="8" s="1"/>
  <c r="G24" i="12"/>
  <c r="G52" i="12" s="1"/>
  <c r="D8" i="6" l="1"/>
  <c r="B9" i="3" l="1"/>
  <c r="C8" i="12" l="1"/>
  <c r="D24" i="12" s="1"/>
  <c r="C8" i="16"/>
  <c r="C8" i="15"/>
  <c r="C36" i="12"/>
  <c r="D52" i="12" s="1"/>
  <c r="C8" i="8"/>
  <c r="E37" i="3"/>
  <c r="J19" i="3"/>
  <c r="J34" i="3" s="1"/>
  <c r="S58" i="1"/>
  <c r="D24" i="15" l="1"/>
  <c r="C36" i="15"/>
  <c r="D52" i="15" s="1"/>
  <c r="C36" i="16"/>
  <c r="D52" i="16" s="1"/>
  <c r="D24" i="16"/>
  <c r="D24" i="8"/>
  <c r="C36" i="8"/>
  <c r="D52" i="8" s="1"/>
  <c r="M34" i="2" l="1"/>
  <c r="H58" i="2" s="1"/>
  <c r="K58" i="2" s="1"/>
  <c r="M58" i="2" s="1"/>
  <c r="AE26" i="1"/>
  <c r="L20" i="14" l="1"/>
  <c r="L25" i="14" s="1"/>
  <c r="H49" i="14" s="1"/>
  <c r="K49" i="14" s="1"/>
  <c r="M49" i="14" s="1"/>
  <c r="L20" i="17"/>
  <c r="L25" i="17" s="1"/>
  <c r="H48" i="17" s="1"/>
  <c r="K48" i="17" s="1"/>
  <c r="M48" i="17" s="1"/>
  <c r="X35" i="1"/>
  <c r="AC37" i="1" s="1"/>
  <c r="L20" i="6"/>
  <c r="L25" i="6" s="1"/>
  <c r="H48" i="6" s="1"/>
  <c r="K48" i="6" s="1"/>
  <c r="M48" i="6" s="1"/>
</calcChain>
</file>

<file path=xl/sharedStrings.xml><?xml version="1.0" encoding="utf-8"?>
<sst xmlns="http://schemas.openxmlformats.org/spreadsheetml/2006/main" count="770" uniqueCount="266">
  <si>
    <t>Appendix 32</t>
  </si>
  <si>
    <t>BOHOL ISLAND STATE UNIVERSITY</t>
  </si>
  <si>
    <t xml:space="preserve">Fund Cluster : </t>
  </si>
  <si>
    <t>Entity Name</t>
  </si>
  <si>
    <t>DISBURSEMENT  VOUCHER</t>
  </si>
  <si>
    <t>Date :</t>
  </si>
  <si>
    <t>DV No. :</t>
  </si>
  <si>
    <t>Mode of Payment</t>
  </si>
  <si>
    <t>MDS Check</t>
  </si>
  <si>
    <t>Commercial Check</t>
  </si>
  <si>
    <t>ADA</t>
  </si>
  <si>
    <t>X</t>
  </si>
  <si>
    <t>Others (Please specify)</t>
  </si>
  <si>
    <t>_________________</t>
  </si>
  <si>
    <t>Payee</t>
  </si>
  <si>
    <t>TIN/Employee No.:</t>
  </si>
  <si>
    <t xml:space="preserve">ORS/BURS No.: </t>
  </si>
  <si>
    <t>Address</t>
  </si>
  <si>
    <t>BISU Candijay Campus</t>
  </si>
  <si>
    <t>Particulars</t>
  </si>
  <si>
    <t>Responsibility Center</t>
  </si>
  <si>
    <t>MFO/PAP</t>
  </si>
  <si>
    <t>Amount</t>
  </si>
  <si>
    <t>PHP</t>
  </si>
  <si>
    <t>Amount Due</t>
  </si>
  <si>
    <t>Php</t>
  </si>
  <si>
    <t>A.</t>
  </si>
  <si>
    <t xml:space="preserve"> Certified:  Expenses/Cash Advance necessary,  lawful and  incurred under my direct supervision.</t>
  </si>
  <si>
    <t xml:space="preserve">  </t>
  </si>
  <si>
    <t xml:space="preserve"> Printed Name, Designation and Signature of Supervisor</t>
  </si>
  <si>
    <t>B.</t>
  </si>
  <si>
    <t xml:space="preserve"> Accounting Entry:</t>
  </si>
  <si>
    <t>Account Title</t>
  </si>
  <si>
    <t>UACS Code</t>
  </si>
  <si>
    <t>Debit</t>
  </si>
  <si>
    <t>Credit</t>
  </si>
  <si>
    <t>C.</t>
  </si>
  <si>
    <t>Certified:</t>
  </si>
  <si>
    <t xml:space="preserve">D. </t>
  </si>
  <si>
    <t>Approved for Payment</t>
  </si>
  <si>
    <t xml:space="preserve"> Cash available</t>
  </si>
  <si>
    <t xml:space="preserve"> Subject to Authority to Debit Account (when applicable)</t>
  </si>
  <si>
    <t xml:space="preserve"> Supporting documents complete and amount claimed </t>
  </si>
  <si>
    <t>proper</t>
  </si>
  <si>
    <t>Signature</t>
  </si>
  <si>
    <t>Printed Name</t>
  </si>
  <si>
    <t>Position</t>
  </si>
  <si>
    <t>Campus Director</t>
  </si>
  <si>
    <t>Head, Accounting Unit/Authorized Representative</t>
  </si>
  <si>
    <t>Agency Head/Authorized Representative</t>
  </si>
  <si>
    <t>Date</t>
  </si>
  <si>
    <t xml:space="preserve">E. </t>
  </si>
  <si>
    <t xml:space="preserve">Receipt of Payment </t>
  </si>
  <si>
    <t>JEV  No.</t>
  </si>
  <si>
    <t>Check/   ADA No. :</t>
  </si>
  <si>
    <t>Bank Name &amp; Account Number:</t>
  </si>
  <si>
    <t>Signature :</t>
  </si>
  <si>
    <r>
      <t xml:space="preserve">Printed Name:                                              </t>
    </r>
    <r>
      <rPr>
        <sz val="9"/>
        <rFont val="Times New Roman"/>
        <family val="1"/>
      </rPr>
      <t xml:space="preserve">  </t>
    </r>
    <r>
      <rPr>
        <sz val="8"/>
        <rFont val="Times New Roman"/>
        <family val="1"/>
      </rPr>
      <t>BOBBY LOU P. CURAY, et.al</t>
    </r>
  </si>
  <si>
    <t>Official Receipt No. &amp; Date/Other Documents</t>
  </si>
  <si>
    <t>Appendix 11</t>
  </si>
  <si>
    <t>OBLIGATION REQUEST AND STATUS</t>
  </si>
  <si>
    <t>Serial No. : _____________________</t>
  </si>
  <si>
    <t>Date : _________________________</t>
  </si>
  <si>
    <t>Fund Cluster : ___________________</t>
  </si>
  <si>
    <t>Office</t>
  </si>
  <si>
    <t>Cogtong, Candijay, Bohol</t>
  </si>
  <si>
    <t>UACS Object Code</t>
  </si>
  <si>
    <t xml:space="preserve">To: </t>
  </si>
  <si>
    <t xml:space="preserve"> </t>
  </si>
  <si>
    <t>P</t>
  </si>
  <si>
    <t xml:space="preserve">                                                                                 Total</t>
  </si>
  <si>
    <t>P                       1,200.00</t>
  </si>
  <si>
    <t>Charges to appropriation/alloment are</t>
  </si>
  <si>
    <r>
      <t>Certified:</t>
    </r>
    <r>
      <rPr>
        <sz val="11"/>
        <rFont val="Times New Roman"/>
        <family val="1"/>
      </rPr>
      <t xml:space="preserve">  Allotment available and obligated</t>
    </r>
  </si>
  <si>
    <t>necessary, lawful and under my direct supervision;and</t>
  </si>
  <si>
    <t xml:space="preserve"> for the purpose/adjustment necessary as</t>
  </si>
  <si>
    <t>supporting documents valid, proper and legal</t>
  </si>
  <si>
    <t xml:space="preserve"> indicated above</t>
  </si>
  <si>
    <t xml:space="preserve">Signature      : </t>
  </si>
  <si>
    <t>Signature      :</t>
  </si>
  <si>
    <t>______________________________</t>
  </si>
  <si>
    <t xml:space="preserve">Printed Name:            </t>
  </si>
  <si>
    <t>Printed Name:</t>
  </si>
  <si>
    <t>MARLINA S. UY</t>
  </si>
  <si>
    <t>Position        :</t>
  </si>
  <si>
    <t>Head, Budget Division/Unit/Authorized Representative</t>
  </si>
  <si>
    <t>Date            :</t>
  </si>
  <si>
    <t>___________________________________</t>
  </si>
  <si>
    <t>Date             :</t>
  </si>
  <si>
    <t>____________________________</t>
  </si>
  <si>
    <t>STATUS OF OBLIGATION</t>
  </si>
  <si>
    <t>Reference</t>
  </si>
  <si>
    <t>ORS/JEV/Check/        ADA/TRA No.</t>
  </si>
  <si>
    <t>Obligation</t>
  </si>
  <si>
    <t>Payable</t>
  </si>
  <si>
    <t>Payment</t>
  </si>
  <si>
    <t>Balance</t>
  </si>
  <si>
    <t>Not Yet Due</t>
  </si>
  <si>
    <t>Due and Demandable</t>
  </si>
  <si>
    <t>(a)</t>
  </si>
  <si>
    <t>(b)</t>
  </si>
  <si>
    <t>(c)</t>
  </si>
  <si>
    <t>(a-b)</t>
  </si>
  <si>
    <t>(b-c)</t>
  </si>
  <si>
    <t xml:space="preserve">   Appendix 45</t>
  </si>
  <si>
    <t>ACTUAL ITINERARY OF TRAVEL</t>
  </si>
  <si>
    <t>Entity Name : BOHOL ISLAND STATE UNIVERSITY CANDIJAY CAMPUS</t>
  </si>
  <si>
    <t>Fund Cluster:  ____________________</t>
  </si>
  <si>
    <t xml:space="preserve">No.:  </t>
  </si>
  <si>
    <t xml:space="preserve">Name : </t>
  </si>
  <si>
    <t xml:space="preserve">Date of Travel: </t>
  </si>
  <si>
    <t xml:space="preserve">Position :  </t>
  </si>
  <si>
    <t xml:space="preserve">Purpose of Travel : </t>
  </si>
  <si>
    <t>Places to be visited</t>
  </si>
  <si>
    <t>T I M E</t>
  </si>
  <si>
    <t>Means of</t>
  </si>
  <si>
    <t>Transpor-station</t>
  </si>
  <si>
    <t>Per</t>
  </si>
  <si>
    <t>Others</t>
  </si>
  <si>
    <t>Total Amount</t>
  </si>
  <si>
    <t>(Destination)</t>
  </si>
  <si>
    <t>Departure</t>
  </si>
  <si>
    <t>Arrival</t>
  </si>
  <si>
    <t>Transportation</t>
  </si>
  <si>
    <t>Diem</t>
  </si>
  <si>
    <t>TOTAL</t>
  </si>
  <si>
    <t xml:space="preserve">  Prepared by :</t>
  </si>
  <si>
    <t xml:space="preserve">I certify that : (1) I have reviewed the foregoing  itinerary,    (2)  the  travel  is necessary to  the service, (3) the period covered   is   reasonable   and   (4)  the expenses claimed are proper.           </t>
  </si>
  <si>
    <t>Signature over Printed Name</t>
  </si>
  <si>
    <t xml:space="preserve">  Approved by:</t>
  </si>
  <si>
    <t>Immediate Supervisor</t>
  </si>
  <si>
    <t>Republic of the Philippines</t>
  </si>
  <si>
    <t>Bohol Island State University</t>
  </si>
  <si>
    <t>ANNEX A</t>
  </si>
  <si>
    <t>CERTIFICATION OF EXPENSES NOT REQUIRING RECEIPTS</t>
  </si>
  <si>
    <t>Pursuant to COA Circular No.  2017-001- dated June 19, 2017</t>
  </si>
  <si>
    <t>Name of Employee</t>
  </si>
  <si>
    <t>Employee No.</t>
  </si>
  <si>
    <t>Division</t>
  </si>
  <si>
    <t>CANDIJAY CAMPUS</t>
  </si>
  <si>
    <t>Amount ((₱)</t>
  </si>
  <si>
    <t>Purpose</t>
  </si>
  <si>
    <t>I hereby certify that the above expenses are incurred as they are necessary for the above cited purpose that above goods and services were acquired from parties not issuing receipts. And that I am fully aware that wilful falsification of statements is punishable by law.</t>
  </si>
  <si>
    <t>Certified Correct:</t>
  </si>
  <si>
    <t>Noted By:</t>
  </si>
  <si>
    <t>Signature:</t>
  </si>
  <si>
    <t>Bookkeeper Designate</t>
  </si>
  <si>
    <t xml:space="preserve">Serial No. : ___________________ </t>
  </si>
  <si>
    <t>Date : _______________________</t>
  </si>
  <si>
    <t>Fund Cluster :_________________</t>
  </si>
  <si>
    <t>Charges to appropriation/budget necessary,</t>
  </si>
  <si>
    <r>
      <t>Certified:</t>
    </r>
    <r>
      <rPr>
        <sz val="11"/>
        <rFont val="Times New Roman"/>
        <family val="1"/>
      </rPr>
      <t xml:space="preserve">  Budget available and utilized for</t>
    </r>
  </si>
  <si>
    <t>lawful and under my direct supervision; and supporting</t>
  </si>
  <si>
    <t xml:space="preserve"> the purpose/adjustment necessary as</t>
  </si>
  <si>
    <t xml:space="preserve"> documents valid, proper and legal</t>
  </si>
  <si>
    <t>____________________________________</t>
  </si>
  <si>
    <t>_________________________________</t>
  </si>
  <si>
    <t>Head, Requesting Office/Authorized Representative</t>
  </si>
  <si>
    <t>_______________________________</t>
  </si>
  <si>
    <t>STATUS OF UTILIZATION</t>
  </si>
  <si>
    <t>Van</t>
  </si>
  <si>
    <t>CTAS</t>
  </si>
  <si>
    <t>Location</t>
  </si>
  <si>
    <t>Official Station</t>
  </si>
  <si>
    <t>Date of Travel (mmmm dd, yyyy)</t>
  </si>
  <si>
    <t>APPENDIX 47</t>
  </si>
  <si>
    <t>CERTIFICATION OF TRAVEL COMPLETED</t>
  </si>
  <si>
    <r>
      <t xml:space="preserve">Entity Name : </t>
    </r>
    <r>
      <rPr>
        <u/>
        <sz val="10"/>
        <rFont val="Arial"/>
        <family val="2"/>
      </rPr>
      <t>BOHOL ISLAND STATE UNIVERSITY</t>
    </r>
  </si>
  <si>
    <t>Fund Cluster: _______________</t>
  </si>
  <si>
    <t>Candijay Campus</t>
  </si>
  <si>
    <t>Director In-Charge</t>
  </si>
  <si>
    <t>Station</t>
  </si>
  <si>
    <t xml:space="preserve">                I HEREBY CERTIFY THAT I have completed the travel as authorized in the Travel Order/</t>
  </si>
  <si>
    <t>Itinerary of Travel No. __________ dated ___________ under conditions indicated below:</t>
  </si>
  <si>
    <t>/     x      /</t>
  </si>
  <si>
    <t>Strictly in accordance with the approved itinerary.</t>
  </si>
  <si>
    <t>/             /</t>
  </si>
  <si>
    <t xml:space="preserve">Cut short as explain below. Excess payment in the amount of </t>
  </si>
  <si>
    <t>P _______ was refunded under O.R. No. _________ dated __________</t>
  </si>
  <si>
    <t>Extended as explained below, additional itinerary was submitted</t>
  </si>
  <si>
    <t>Other deviation as explained below.</t>
  </si>
  <si>
    <t>Explanation or justifications:</t>
  </si>
  <si>
    <t>Evidence of Travel:</t>
  </si>
  <si>
    <t>Certificate of Appearance</t>
  </si>
  <si>
    <t>Respectfully submitted:</t>
  </si>
  <si>
    <t>On evidence and information of which I have the knowledge, the travel was actually</t>
  </si>
  <si>
    <t>undertaken.</t>
  </si>
  <si>
    <t>Approved:</t>
  </si>
  <si>
    <t>Admin Asst. II/ Bookkeeper</t>
  </si>
  <si>
    <t>Budget Designate</t>
  </si>
  <si>
    <t>Sportivo</t>
  </si>
  <si>
    <t>ROWENA P. MONTESCLAROS</t>
  </si>
  <si>
    <t>Administrative Officer IV</t>
  </si>
  <si>
    <t xml:space="preserve">Reimbursement of </t>
  </si>
  <si>
    <t>monthly load</t>
  </si>
  <si>
    <t>allowance</t>
  </si>
  <si>
    <t>Reimbursement of monthly load allowance for the month of March, 2021 and April, 2021 in the total amount of…</t>
  </si>
  <si>
    <t>Instructor I-Temporary</t>
  </si>
  <si>
    <t>Instructor I - Temporary</t>
  </si>
  <si>
    <t>ALMA MAE B. AUXTERO</t>
  </si>
  <si>
    <t>Appendix  11</t>
  </si>
  <si>
    <t>Workshop Proper</t>
  </si>
  <si>
    <t>bf</t>
  </si>
  <si>
    <t>lunch</t>
  </si>
  <si>
    <t>dinner</t>
  </si>
  <si>
    <t>incidental</t>
  </si>
  <si>
    <t>Van Fare (Candijay-Tagbilaran)</t>
  </si>
  <si>
    <t>November 14, 2022</t>
  </si>
  <si>
    <t xml:space="preserve">Candijay-JJs Seafood </t>
  </si>
  <si>
    <t>and Restaurant</t>
  </si>
  <si>
    <t>JJs Seafood and Restaurant to Candijay</t>
  </si>
  <si>
    <t>November 15, 2022</t>
  </si>
  <si>
    <t>November 18, 2022</t>
  </si>
  <si>
    <t>November 14-15, 18 and 22-23, 2022</t>
  </si>
  <si>
    <t>to attend and participate the Crafting of University Land Use Development and Infrastructure Plan and attend University BAC Meeting</t>
  </si>
  <si>
    <t>JJs Seafood and Restaurant and BISU Main Campus respectively</t>
  </si>
  <si>
    <t>Candijay to BISU Main</t>
  </si>
  <si>
    <t>BAC Meeting</t>
  </si>
  <si>
    <t>BISU Main to Candijay</t>
  </si>
  <si>
    <t>November 22, 2022</t>
  </si>
  <si>
    <t>Candijay- JJs Seafood</t>
  </si>
  <si>
    <t>November 23, 2022</t>
  </si>
  <si>
    <t>LUZMINDA G. MACHETE, EdD</t>
  </si>
  <si>
    <t>free lunch</t>
  </si>
  <si>
    <t>breakfast excluded</t>
  </si>
  <si>
    <t>Five thousand five hundred eighty pesos only</t>
  </si>
  <si>
    <t>to attend and participate the Crafting of University Land Use Development and Infrastructure Plan at JJs Seafood and Restaurant</t>
  </si>
  <si>
    <t>ROGER E. AMOLATO</t>
  </si>
  <si>
    <t>May 4-6, 2023</t>
  </si>
  <si>
    <t>V-Hire Fare (Dao Terminal - Anda)</t>
  </si>
  <si>
    <t>CTAS, Dean</t>
  </si>
  <si>
    <t>Appendix  14</t>
  </si>
  <si>
    <t>BUDGET UTILIZATION REQUEST AND STATUS</t>
  </si>
  <si>
    <t>Attended the three (3) days Face-to-face seminar on the 2nd National Sustainability Summits last July 19-21, 2023 at CTU Danao Campus, Cebu City Philippines</t>
  </si>
  <si>
    <t>Bus Fare (CTU Danao - SM Terminal)</t>
  </si>
  <si>
    <t>Liquidation Report</t>
  </si>
  <si>
    <t>Itenerary</t>
  </si>
  <si>
    <t>Cert of Travel Compl</t>
  </si>
  <si>
    <t>Cert of Not Req. Recipt</t>
  </si>
  <si>
    <t>Tickets</t>
  </si>
  <si>
    <t>OR</t>
  </si>
  <si>
    <t>Communicatiom</t>
  </si>
  <si>
    <t>TO</t>
  </si>
  <si>
    <t>Cert of Appearance</t>
  </si>
  <si>
    <t>Cert of Recognition</t>
  </si>
  <si>
    <t>Liquidation: (2 pcs)</t>
  </si>
  <si>
    <t>Bus Fare (Cebu Seaport - SM Terminal)</t>
  </si>
  <si>
    <t>Tricycle Fair (Tagbilaran Seaport - Lodging)</t>
  </si>
  <si>
    <t>Tricycle Fair (Lodging - Dao Terminal)</t>
  </si>
  <si>
    <t>Bohol Island State University - Candijay Campus</t>
  </si>
  <si>
    <t>Reimbursement of the travelling expenses to deposit payments for the registration of the 27th PSITE National Convention on February 24, 2025, in China Bank, Tagbilaran City, and  to submit pertinent documents for the Educational Tour for BSCS in BISU - Main Campus, Tagbilaran City, on April 21, 2025</t>
  </si>
  <si>
    <t>College of Sciences</t>
  </si>
  <si>
    <t>Dean, College of Sciences</t>
  </si>
  <si>
    <t>V-Hire Fare (Dao Terminal - Anda Terminal )</t>
  </si>
  <si>
    <t>V-Hire Fare (Anda Terminal - Dao Terminal )</t>
  </si>
  <si>
    <t>To visit the Host Training Establishments (HTEs) of the BSCS OJTs on JULY 31, 2025, at Tagbilaran City, Bohol</t>
  </si>
  <si>
    <t>To attend the BISU - Intelligente Publishing Inc. Training of Human Sourcebooks  on November 6-7, 2025, at the Multimedia Center, BISU Main Campus</t>
  </si>
  <si>
    <t>October 30, 2025</t>
  </si>
  <si>
    <t>To attend the Solidarity Meeting and Submission of Lacking Documents for the University Paugnat and Pasundayag Festival 2025 on October 30, 2025, at the BISU Main Campus Activity Center, Tagbilaran City, Bohol.</t>
  </si>
  <si>
    <t>Station to BISU Main</t>
  </si>
  <si>
    <t>BISU Main to Station</t>
  </si>
  <si>
    <t>Gov't Transpo</t>
  </si>
  <si>
    <t>FIVE HUNDRED FORTY PESOS ONLY</t>
  </si>
  <si>
    <t>MARK JUBEN M. PILAPIL</t>
  </si>
  <si>
    <t>Reimbursement of the travelling expenses to attend the Solidarity Meeting and Submission of Lacking Documents for the University Paugnat and Pasundayag Festival 2025 on October 30, 2025, at the BISU Main Campus Activity Center, Tagbilaran City, Bohol.</t>
  </si>
  <si>
    <t>Director, Sports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</si>
</sst>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_(* \(#,##0\);_(* &quot;-&quot;_);_(@_)"/>
    <numFmt numFmtId="43" formatCode="_(* #,##0.00_);_(* \(#,##0.00\);_(* &quot;-&quot;??_);_(@_)"/>
    <numFmt numFmtId="164" formatCode="_-* #,##0.00_-;\-* #,##0.00_-;_-* &quot;-&quot;??_-;_-@_-"/>
    <numFmt numFmtId="165" formatCode="mm/dd/yy;@"/>
    <numFmt numFmtId="166" formatCode="_(* #,##0_);_(* \(#,##0\);_(* &quot;-&quot;??_);_(@_)"/>
  </numFmts>
  <fonts count="47">
    <font>
      <sz val="10"/>
      <name val="Arial"/>
    </font>
    <font>
      <sz val="11"/>
      <color theme="1"/>
      <name val="Calibri"/>
      <family val="2"/>
      <scheme val="minor"/>
    </font>
    <font>
      <sz val="10"/>
      <name val="Times New Roman"/>
      <family val="1"/>
    </font>
    <font>
      <i/>
      <sz val="14"/>
      <name val="Times New Roman"/>
      <family val="1"/>
    </font>
    <font>
      <b/>
      <sz val="10"/>
      <name val="Times New Roman"/>
      <family val="1"/>
    </font>
    <font>
      <b/>
      <sz val="11"/>
      <name val="Times New Roman"/>
      <family val="1"/>
    </font>
    <font>
      <b/>
      <sz val="14"/>
      <name val="Times New Roman"/>
      <family val="1"/>
    </font>
    <font>
      <b/>
      <sz val="14"/>
      <name val="Arial"/>
      <family val="2"/>
    </font>
    <font>
      <sz val="11"/>
      <name val="Times New Roman"/>
      <family val="1"/>
    </font>
    <font>
      <b/>
      <sz val="10"/>
      <name val="Euphemia"/>
      <family val="2"/>
    </font>
    <font>
      <sz val="10"/>
      <name val="Euphemia"/>
      <family val="2"/>
    </font>
    <font>
      <sz val="11"/>
      <name val="Euphemia"/>
      <family val="2"/>
    </font>
    <font>
      <b/>
      <sz val="10"/>
      <name val="Arial"/>
      <family val="2"/>
    </font>
    <font>
      <b/>
      <u/>
      <sz val="10"/>
      <name val="Euphemia"/>
      <family val="2"/>
    </font>
    <font>
      <sz val="10"/>
      <name val="Arial"/>
      <family val="2"/>
    </font>
    <font>
      <sz val="9"/>
      <name val="Times New Roman"/>
      <family val="1"/>
    </font>
    <font>
      <sz val="8"/>
      <name val="Times New Roman"/>
      <family val="1"/>
    </font>
    <font>
      <b/>
      <sz val="8"/>
      <name val="Century Gothic"/>
      <family val="2"/>
    </font>
    <font>
      <i/>
      <sz val="16"/>
      <name val="Times New Roman"/>
      <family val="1"/>
    </font>
    <font>
      <u/>
      <sz val="11"/>
      <name val="Times New Roman"/>
      <family val="1"/>
    </font>
    <font>
      <b/>
      <sz val="11"/>
      <name val="Euphemia"/>
      <family val="2"/>
    </font>
    <font>
      <sz val="11"/>
      <color indexed="8"/>
      <name val="Times New Roman"/>
      <family val="1"/>
    </font>
    <font>
      <sz val="11"/>
      <color indexed="8"/>
      <name val="Calibri"/>
      <family val="2"/>
    </font>
    <font>
      <sz val="9"/>
      <name val="Euphemia"/>
      <family val="2"/>
    </font>
    <font>
      <sz val="9"/>
      <name val="Century Gothic"/>
      <family val="2"/>
    </font>
    <font>
      <sz val="10"/>
      <name val="Century Gothic"/>
      <family val="2"/>
    </font>
    <font>
      <u/>
      <sz val="11"/>
      <color theme="1"/>
      <name val="Times New Roman"/>
      <family val="1"/>
    </font>
    <font>
      <sz val="11"/>
      <color theme="1"/>
      <name val="Times New Roman"/>
      <family val="1"/>
    </font>
    <font>
      <u/>
      <sz val="8"/>
      <name val="Euphemia"/>
      <family val="2"/>
    </font>
    <font>
      <b/>
      <sz val="8"/>
      <name val="Euphemia"/>
      <family val="2"/>
    </font>
    <font>
      <sz val="8"/>
      <name val="Century Gothic"/>
      <family val="2"/>
    </font>
    <font>
      <sz val="8"/>
      <name val="Euphemia"/>
      <family val="2"/>
    </font>
    <font>
      <sz val="11"/>
      <color theme="1"/>
      <name val="Arial Narrow"/>
      <family val="2"/>
    </font>
    <font>
      <i/>
      <sz val="12"/>
      <color theme="1"/>
      <name val="Arial Narrow"/>
      <family val="2"/>
    </font>
    <font>
      <b/>
      <sz val="11"/>
      <color theme="1"/>
      <name val="Arial Narrow"/>
      <family val="2"/>
    </font>
    <font>
      <b/>
      <sz val="11"/>
      <color theme="1"/>
      <name val="Euphemia"/>
      <family val="2"/>
    </font>
    <font>
      <b/>
      <sz val="10"/>
      <color theme="1"/>
      <name val="Arial Narrow"/>
      <family val="2"/>
    </font>
    <font>
      <b/>
      <i/>
      <sz val="8"/>
      <color theme="1"/>
      <name val="Euphemia"/>
      <family val="2"/>
    </font>
    <font>
      <i/>
      <sz val="11"/>
      <color theme="1"/>
      <name val="Arial Narrow"/>
      <family val="2"/>
    </font>
    <font>
      <sz val="8"/>
      <name val="Arial"/>
      <family val="2"/>
    </font>
    <font>
      <b/>
      <sz val="12"/>
      <name val="Times New Roman"/>
      <family val="1"/>
    </font>
    <font>
      <i/>
      <sz val="10"/>
      <name val="Arial"/>
      <family val="2"/>
    </font>
    <font>
      <u/>
      <sz val="10"/>
      <name val="Arial"/>
      <family val="2"/>
    </font>
    <font>
      <b/>
      <sz val="8"/>
      <name val="Euphemia"/>
    </font>
    <font>
      <i/>
      <sz val="8"/>
      <color theme="1"/>
      <name val="Euphemia"/>
    </font>
    <font>
      <sz val="10"/>
      <name val="Euphemia"/>
    </font>
    <font>
      <sz val="11"/>
      <name val="Euphemia"/>
    </font>
  </fonts>
  <fills count="2">
    <fill>
      <patternFill patternType="none"/>
    </fill>
    <fill>
      <patternFill patternType="gray125"/>
    </fill>
  </fills>
  <borders count="68">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s>
  <cellStyleXfs count="5">
    <xf numFmtId="0" fontId="0" fillId="0" borderId="0"/>
    <xf numFmtId="43" fontId="14" fillId="0" borderId="0" applyFont="0" applyFill="0" applyBorder="0" applyAlignment="0" applyProtection="0"/>
    <xf numFmtId="0" fontId="1" fillId="0" borderId="0"/>
    <xf numFmtId="43" fontId="22" fillId="0" borderId="0" applyFont="0" applyFill="0" applyBorder="0" applyAlignment="0" applyProtection="0"/>
    <xf numFmtId="0" fontId="14" fillId="0" borderId="0"/>
  </cellStyleXfs>
  <cellXfs count="1067">
    <xf numFmtId="0" fontId="0" fillId="0" borderId="0" xfId="0"/>
    <xf numFmtId="0" fontId="2" fillId="0" borderId="0" xfId="0" applyFont="1"/>
    <xf numFmtId="0" fontId="2" fillId="0" borderId="0" xfId="0" applyFont="1" applyAlignment="1">
      <alignment vertical="center"/>
    </xf>
    <xf numFmtId="0" fontId="2" fillId="0" borderId="2" xfId="0" applyFont="1" applyBorder="1" applyAlignment="1">
      <alignment horizontal="center" wrapText="1"/>
    </xf>
    <xf numFmtId="0" fontId="8" fillId="0" borderId="12" xfId="0" applyFont="1" applyBorder="1"/>
    <xf numFmtId="0" fontId="8" fillId="0" borderId="0" xfId="0" applyFont="1"/>
    <xf numFmtId="0" fontId="2" fillId="0" borderId="11" xfId="0" applyFont="1" applyBorder="1" applyAlignment="1">
      <alignment wrapText="1"/>
    </xf>
    <xf numFmtId="0" fontId="2" fillId="0" borderId="0" xfId="0" applyFont="1" applyAlignment="1">
      <alignment wrapText="1"/>
    </xf>
    <xf numFmtId="0" fontId="2" fillId="0" borderId="17" xfId="0" applyFont="1" applyBorder="1"/>
    <xf numFmtId="0" fontId="2" fillId="0" borderId="17" xfId="0" applyFont="1" applyBorder="1" applyAlignment="1">
      <alignment horizontal="center"/>
    </xf>
    <xf numFmtId="0" fontId="2" fillId="0" borderId="12" xfId="0" applyFont="1" applyBorder="1" applyAlignment="1">
      <alignment wrapText="1"/>
    </xf>
    <xf numFmtId="0" fontId="2" fillId="0" borderId="14" xfId="0" applyFont="1" applyBorder="1"/>
    <xf numFmtId="0" fontId="2" fillId="0" borderId="18" xfId="0" applyFont="1" applyBorder="1" applyAlignment="1">
      <alignment wrapText="1"/>
    </xf>
    <xf numFmtId="0" fontId="2" fillId="0" borderId="14" xfId="0" applyFont="1" applyBorder="1" applyAlignment="1">
      <alignment wrapText="1"/>
    </xf>
    <xf numFmtId="0" fontId="2" fillId="0" borderId="14" xfId="0" applyFont="1" applyBorder="1" applyAlignment="1">
      <alignment vertical="top"/>
    </xf>
    <xf numFmtId="0" fontId="2" fillId="0" borderId="16" xfId="0" applyFont="1" applyBorder="1" applyAlignment="1">
      <alignment wrapText="1"/>
    </xf>
    <xf numFmtId="0" fontId="2" fillId="0" borderId="2" xfId="0" applyFont="1" applyBorder="1"/>
    <xf numFmtId="0" fontId="8" fillId="0" borderId="5" xfId="0" applyFont="1" applyBorder="1"/>
    <xf numFmtId="0" fontId="8" fillId="0" borderId="16" xfId="0" applyFont="1" applyBorder="1"/>
    <xf numFmtId="49" fontId="8" fillId="0" borderId="10" xfId="0" applyNumberFormat="1" applyFont="1" applyBorder="1"/>
    <xf numFmtId="49" fontId="8" fillId="0" borderId="0" xfId="0" applyNumberFormat="1" applyFont="1"/>
    <xf numFmtId="0" fontId="2" fillId="0" borderId="23" xfId="0" applyFont="1" applyBorder="1"/>
    <xf numFmtId="0" fontId="0" fillId="0" borderId="21" xfId="0" applyBorder="1"/>
    <xf numFmtId="0" fontId="0" fillId="0" borderId="22" xfId="0" applyBorder="1"/>
    <xf numFmtId="0" fontId="2" fillId="0" borderId="23" xfId="0" applyFont="1" applyBorder="1" applyAlignment="1">
      <alignment wrapText="1"/>
    </xf>
    <xf numFmtId="0" fontId="2" fillId="0" borderId="21" xfId="0" applyFont="1" applyBorder="1" applyAlignment="1">
      <alignment wrapText="1"/>
    </xf>
    <xf numFmtId="0" fontId="2" fillId="0" borderId="24" xfId="0" applyFont="1" applyBorder="1" applyAlignment="1">
      <alignment wrapText="1"/>
    </xf>
    <xf numFmtId="0" fontId="0" fillId="0" borderId="11" xfId="0" applyBorder="1"/>
    <xf numFmtId="0" fontId="0" fillId="0" borderId="7" xfId="0" applyBorder="1"/>
    <xf numFmtId="0" fontId="10" fillId="0" borderId="0" xfId="0" applyFont="1" applyAlignment="1">
      <alignment wrapText="1"/>
    </xf>
    <xf numFmtId="0" fontId="11" fillId="0" borderId="0" xfId="0" applyFont="1"/>
    <xf numFmtId="0" fontId="11" fillId="0" borderId="12" xfId="0" applyFont="1" applyBorder="1"/>
    <xf numFmtId="0" fontId="10" fillId="0" borderId="11" xfId="0" applyFont="1" applyBorder="1" applyAlignment="1">
      <alignment wrapText="1"/>
    </xf>
    <xf numFmtId="0" fontId="10" fillId="0" borderId="12" xfId="0" applyFont="1" applyBorder="1" applyAlignment="1">
      <alignment wrapText="1"/>
    </xf>
    <xf numFmtId="0" fontId="0" fillId="0" borderId="18" xfId="0" applyBorder="1"/>
    <xf numFmtId="0" fontId="0" fillId="0" borderId="14" xfId="0" applyBorder="1"/>
    <xf numFmtId="0" fontId="0" fillId="0" borderId="15" xfId="0" applyBorder="1"/>
    <xf numFmtId="0" fontId="8" fillId="0" borderId="6" xfId="0" applyFont="1" applyBorder="1"/>
    <xf numFmtId="0" fontId="4" fillId="0" borderId="33" xfId="0" applyFont="1" applyBorder="1" applyAlignment="1">
      <alignment vertical="center"/>
    </xf>
    <xf numFmtId="0" fontId="2" fillId="0" borderId="6" xfId="0" applyFont="1" applyBorder="1" applyAlignment="1">
      <alignment horizontal="center" wrapText="1"/>
    </xf>
    <xf numFmtId="0" fontId="2" fillId="0" borderId="0" xfId="0" applyFont="1" applyAlignment="1">
      <alignment horizontal="center" wrapText="1"/>
    </xf>
    <xf numFmtId="0" fontId="2" fillId="0" borderId="0" xfId="0" applyFont="1" applyAlignment="1">
      <alignment horizontal="center"/>
    </xf>
    <xf numFmtId="43" fontId="4" fillId="0" borderId="0" xfId="0" applyNumberFormat="1" applyFont="1" applyAlignment="1">
      <alignment horizontal="center" wrapText="1"/>
    </xf>
    <xf numFmtId="0" fontId="4" fillId="0" borderId="0" xfId="0" applyFont="1" applyAlignment="1">
      <alignment horizontal="center" wrapText="1"/>
    </xf>
    <xf numFmtId="0" fontId="4" fillId="0" borderId="12" xfId="0" applyFont="1" applyBorder="1" applyAlignment="1">
      <alignment horizontal="center" wrapText="1"/>
    </xf>
    <xf numFmtId="0" fontId="2" fillId="0" borderId="6" xfId="0" applyFont="1" applyBorder="1"/>
    <xf numFmtId="0" fontId="2" fillId="0" borderId="12" xfId="0" applyFont="1" applyBorder="1"/>
    <xf numFmtId="0" fontId="4" fillId="0" borderId="34" xfId="0" applyFont="1" applyBorder="1" applyAlignment="1">
      <alignment vertical="center"/>
    </xf>
    <xf numFmtId="0" fontId="2" fillId="0" borderId="26" xfId="0" applyFont="1" applyBorder="1" applyAlignment="1">
      <alignment vertical="center"/>
    </xf>
    <xf numFmtId="0" fontId="4" fillId="0" borderId="26" xfId="0" applyFont="1" applyBorder="1" applyAlignment="1">
      <alignment vertical="center"/>
    </xf>
    <xf numFmtId="0" fontId="4" fillId="0" borderId="29" xfId="0" applyFont="1" applyBorder="1" applyAlignment="1">
      <alignment vertical="center"/>
    </xf>
    <xf numFmtId="0" fontId="10" fillId="0" borderId="7" xfId="0" applyFont="1" applyBorder="1" applyAlignment="1">
      <alignment wrapText="1"/>
    </xf>
    <xf numFmtId="0" fontId="10" fillId="0" borderId="14" xfId="0" applyFont="1" applyBorder="1" applyAlignment="1">
      <alignment wrapText="1"/>
    </xf>
    <xf numFmtId="0" fontId="10" fillId="0" borderId="15" xfId="0" applyFont="1" applyBorder="1" applyAlignment="1">
      <alignment wrapText="1"/>
    </xf>
    <xf numFmtId="0" fontId="4" fillId="0" borderId="34" xfId="0" applyFont="1" applyBorder="1"/>
    <xf numFmtId="0" fontId="4" fillId="0" borderId="26" xfId="0" applyFont="1" applyBorder="1"/>
    <xf numFmtId="0" fontId="2" fillId="0" borderId="26" xfId="0" applyFont="1" applyBorder="1"/>
    <xf numFmtId="0" fontId="2" fillId="0" borderId="29" xfId="0" applyFont="1" applyBorder="1"/>
    <xf numFmtId="0" fontId="2" fillId="0" borderId="26" xfId="0" applyFont="1" applyBorder="1" applyAlignment="1">
      <alignment vertical="justify"/>
    </xf>
    <xf numFmtId="0" fontId="2" fillId="0" borderId="29" xfId="0" applyFont="1" applyBorder="1" applyAlignment="1">
      <alignment vertical="justify"/>
    </xf>
    <xf numFmtId="0" fontId="2" fillId="0" borderId="37" xfId="0" applyFont="1" applyBorder="1"/>
    <xf numFmtId="0" fontId="2" fillId="0" borderId="0" xfId="0" applyFont="1" applyAlignment="1">
      <alignment horizontal="left" indent="1"/>
    </xf>
    <xf numFmtId="0" fontId="2" fillId="0" borderId="38" xfId="0" applyFont="1" applyBorder="1"/>
    <xf numFmtId="0" fontId="2" fillId="0" borderId="9" xfId="0" applyFont="1" applyBorder="1"/>
    <xf numFmtId="0" fontId="2" fillId="0" borderId="10" xfId="0" applyFont="1" applyBorder="1"/>
    <xf numFmtId="0" fontId="8" fillId="0" borderId="9" xfId="0" applyFont="1" applyBorder="1"/>
    <xf numFmtId="0" fontId="4" fillId="0" borderId="27" xfId="0" applyFont="1" applyBorder="1"/>
    <xf numFmtId="0" fontId="2" fillId="0" borderId="9" xfId="0" applyFont="1" applyBorder="1" applyAlignment="1">
      <alignment wrapText="1"/>
    </xf>
    <xf numFmtId="0" fontId="2" fillId="0" borderId="10" xfId="0" applyFont="1" applyBorder="1" applyAlignment="1">
      <alignment wrapText="1"/>
    </xf>
    <xf numFmtId="0" fontId="2" fillId="0" borderId="21" xfId="0" applyFont="1" applyBorder="1"/>
    <xf numFmtId="0" fontId="8" fillId="0" borderId="21" xfId="0" applyFont="1" applyBorder="1" applyAlignment="1">
      <alignment horizontal="left"/>
    </xf>
    <xf numFmtId="0" fontId="8" fillId="0" borderId="0" xfId="0" applyFont="1" applyAlignment="1">
      <alignment horizontal="left"/>
    </xf>
    <xf numFmtId="0" fontId="8" fillId="0" borderId="0" xfId="2" applyFont="1"/>
    <xf numFmtId="0" fontId="2" fillId="0" borderId="0" xfId="2" applyFont="1"/>
    <xf numFmtId="0" fontId="8" fillId="0" borderId="47" xfId="2" applyFont="1" applyBorder="1" applyAlignment="1">
      <alignment vertical="center"/>
    </xf>
    <xf numFmtId="0" fontId="8" fillId="0" borderId="4" xfId="2" applyFont="1" applyBorder="1"/>
    <xf numFmtId="43" fontId="8" fillId="0" borderId="5" xfId="3" applyFont="1" applyBorder="1" applyAlignment="1"/>
    <xf numFmtId="0" fontId="8" fillId="0" borderId="47" xfId="2" applyFont="1" applyBorder="1"/>
    <xf numFmtId="41" fontId="8" fillId="0" borderId="11" xfId="3" applyNumberFormat="1" applyFont="1" applyBorder="1" applyAlignment="1"/>
    <xf numFmtId="43" fontId="8" fillId="0" borderId="12" xfId="3" applyFont="1" applyBorder="1" applyAlignment="1"/>
    <xf numFmtId="0" fontId="8" fillId="0" borderId="11" xfId="2" applyFont="1" applyBorder="1"/>
    <xf numFmtId="43" fontId="24" fillId="0" borderId="12" xfId="3" applyFont="1" applyBorder="1" applyAlignment="1"/>
    <xf numFmtId="0" fontId="25" fillId="0" borderId="11" xfId="2" applyFont="1" applyBorder="1"/>
    <xf numFmtId="43" fontId="25" fillId="0" borderId="12" xfId="3" applyFont="1" applyBorder="1" applyAlignment="1"/>
    <xf numFmtId="0" fontId="10" fillId="0" borderId="0" xfId="2" applyFont="1"/>
    <xf numFmtId="43" fontId="23" fillId="0" borderId="12" xfId="3" applyFont="1" applyBorder="1" applyAlignment="1"/>
    <xf numFmtId="0" fontId="8" fillId="0" borderId="47" xfId="2" applyFont="1" applyBorder="1" applyAlignment="1">
      <alignment horizontal="center"/>
    </xf>
    <xf numFmtId="0" fontId="11" fillId="0" borderId="15" xfId="2" applyFont="1" applyBorder="1" applyAlignment="1">
      <alignment wrapText="1"/>
    </xf>
    <xf numFmtId="41" fontId="9" fillId="0" borderId="18" xfId="3" applyNumberFormat="1" applyFont="1" applyBorder="1" applyAlignment="1"/>
    <xf numFmtId="43" fontId="9" fillId="0" borderId="16" xfId="3" applyFont="1" applyBorder="1" applyAlignment="1"/>
    <xf numFmtId="0" fontId="5" fillId="0" borderId="0" xfId="2" applyFont="1" applyAlignment="1">
      <alignment vertical="center"/>
    </xf>
    <xf numFmtId="0" fontId="5" fillId="0" borderId="0" xfId="2" applyFont="1" applyAlignment="1">
      <alignment horizontal="left" vertical="center" wrapText="1"/>
    </xf>
    <xf numFmtId="0" fontId="8" fillId="0" borderId="12" xfId="2" applyFont="1" applyBorder="1"/>
    <xf numFmtId="0" fontId="5" fillId="0" borderId="0" xfId="2" applyFont="1"/>
    <xf numFmtId="0" fontId="5" fillId="0" borderId="6" xfId="2" applyFont="1" applyBorder="1"/>
    <xf numFmtId="0" fontId="8" fillId="0" borderId="6" xfId="2" applyFont="1" applyBorder="1"/>
    <xf numFmtId="0" fontId="8" fillId="0" borderId="6" xfId="2" applyFont="1" applyBorder="1" applyAlignment="1">
      <alignment wrapText="1"/>
    </xf>
    <xf numFmtId="0" fontId="8" fillId="0" borderId="0" xfId="2" applyFont="1" applyAlignment="1">
      <alignment wrapText="1"/>
    </xf>
    <xf numFmtId="0" fontId="8" fillId="0" borderId="0" xfId="2" applyFont="1" applyAlignment="1">
      <alignment horizontal="left"/>
    </xf>
    <xf numFmtId="0" fontId="8" fillId="0" borderId="6" xfId="2" applyFont="1" applyBorder="1" applyAlignment="1">
      <alignment vertical="center" wrapText="1"/>
    </xf>
    <xf numFmtId="0" fontId="8" fillId="0" borderId="0" xfId="2" applyFont="1" applyAlignment="1">
      <alignment vertical="center" wrapText="1"/>
    </xf>
    <xf numFmtId="0" fontId="27" fillId="0" borderId="0" xfId="2" applyFont="1" applyAlignment="1">
      <alignment vertical="center" wrapText="1"/>
    </xf>
    <xf numFmtId="0" fontId="8" fillId="0" borderId="12" xfId="2" applyFont="1" applyBorder="1" applyAlignment="1">
      <alignment vertical="center" wrapText="1"/>
    </xf>
    <xf numFmtId="0" fontId="5" fillId="0" borderId="0" xfId="2" applyFont="1" applyAlignment="1">
      <alignment vertical="center" wrapText="1"/>
    </xf>
    <xf numFmtId="0" fontId="8" fillId="0" borderId="13" xfId="2" applyFont="1" applyBorder="1" applyAlignment="1">
      <alignment vertical="center" wrapText="1"/>
    </xf>
    <xf numFmtId="0" fontId="8" fillId="0" borderId="14" xfId="2" applyFont="1" applyBorder="1" applyAlignment="1">
      <alignment vertical="center" wrapText="1"/>
    </xf>
    <xf numFmtId="0" fontId="8" fillId="0" borderId="16" xfId="2" applyFont="1" applyBorder="1" applyAlignment="1">
      <alignment vertical="center" wrapText="1"/>
    </xf>
    <xf numFmtId="0" fontId="8" fillId="0" borderId="14" xfId="2" applyFont="1" applyBorder="1" applyAlignment="1">
      <alignment wrapText="1"/>
    </xf>
    <xf numFmtId="0" fontId="8" fillId="0" borderId="16" xfId="2" applyFont="1" applyBorder="1" applyAlignment="1">
      <alignment wrapText="1"/>
    </xf>
    <xf numFmtId="0" fontId="8" fillId="0" borderId="49" xfId="2" applyFont="1" applyBorder="1"/>
    <xf numFmtId="0" fontId="8" fillId="0" borderId="2" xfId="2" applyFont="1" applyBorder="1"/>
    <xf numFmtId="0" fontId="8" fillId="0" borderId="5" xfId="2" applyFont="1" applyBorder="1"/>
    <xf numFmtId="0" fontId="5" fillId="0" borderId="50" xfId="2" applyFont="1" applyBorder="1"/>
    <xf numFmtId="0" fontId="8" fillId="0" borderId="47" xfId="2" applyFont="1" applyBorder="1" applyAlignment="1">
      <alignment horizontal="center" vertical="center"/>
    </xf>
    <xf numFmtId="0" fontId="8" fillId="0" borderId="55" xfId="2" applyFont="1" applyBorder="1" applyAlignment="1">
      <alignment horizontal="center" vertical="center" wrapText="1"/>
    </xf>
    <xf numFmtId="0" fontId="8" fillId="0" borderId="50" xfId="2" applyFont="1" applyBorder="1" applyAlignment="1">
      <alignment horizontal="center" vertical="center"/>
    </xf>
    <xf numFmtId="0" fontId="8" fillId="0" borderId="58" xfId="2" applyFont="1" applyBorder="1" applyAlignment="1">
      <alignment horizontal="center" vertical="center"/>
    </xf>
    <xf numFmtId="0" fontId="8" fillId="0" borderId="58" xfId="2" applyFont="1" applyBorder="1" applyAlignment="1">
      <alignment horizontal="center"/>
    </xf>
    <xf numFmtId="0" fontId="8" fillId="0" borderId="59" xfId="2" applyFont="1" applyBorder="1" applyAlignment="1">
      <alignment horizontal="center" wrapText="1"/>
    </xf>
    <xf numFmtId="165" fontId="0" fillId="0" borderId="0" xfId="0" applyNumberFormat="1"/>
    <xf numFmtId="166" fontId="14" fillId="0" borderId="0" xfId="1" applyNumberFormat="1"/>
    <xf numFmtId="165" fontId="6" fillId="0" borderId="0" xfId="0" applyNumberFormat="1" applyFont="1" applyAlignment="1">
      <alignment horizontal="center"/>
    </xf>
    <xf numFmtId="0" fontId="6" fillId="0" borderId="0" xfId="0" applyFont="1" applyAlignment="1">
      <alignment horizontal="center"/>
    </xf>
    <xf numFmtId="165" fontId="5" fillId="0" borderId="0" xfId="0" applyNumberFormat="1" applyFont="1" applyAlignment="1">
      <alignment horizontal="center"/>
    </xf>
    <xf numFmtId="0" fontId="5" fillId="0" borderId="0" xfId="0" applyFont="1" applyAlignment="1">
      <alignment horizontal="center"/>
    </xf>
    <xf numFmtId="165" fontId="5" fillId="0" borderId="0" xfId="0" applyNumberFormat="1" applyFont="1" applyAlignment="1">
      <alignment horizontal="left"/>
    </xf>
    <xf numFmtId="0" fontId="5" fillId="0" borderId="0" xfId="0" applyFont="1" applyAlignment="1">
      <alignment horizontal="left"/>
    </xf>
    <xf numFmtId="0" fontId="5" fillId="0" borderId="1" xfId="0" applyFont="1" applyBorder="1"/>
    <xf numFmtId="0" fontId="5" fillId="0" borderId="6" xfId="0" applyFont="1" applyBorder="1"/>
    <xf numFmtId="0" fontId="5" fillId="0" borderId="6" xfId="0" applyFont="1" applyBorder="1" applyAlignment="1">
      <alignment horizontal="left"/>
    </xf>
    <xf numFmtId="165" fontId="8" fillId="0" borderId="13" xfId="0" applyNumberFormat="1" applyFont="1" applyBorder="1"/>
    <xf numFmtId="0" fontId="8" fillId="0" borderId="14" xfId="0" applyFont="1" applyBorder="1"/>
    <xf numFmtId="43" fontId="0" fillId="0" borderId="0" xfId="1" applyFont="1" applyBorder="1"/>
    <xf numFmtId="165" fontId="8" fillId="0" borderId="6" xfId="0" applyNumberFormat="1" applyFont="1" applyBorder="1"/>
    <xf numFmtId="0" fontId="5" fillId="0" borderId="2" xfId="0" applyFont="1" applyBorder="1" applyAlignment="1">
      <alignment horizontal="center"/>
    </xf>
    <xf numFmtId="166" fontId="5" fillId="0" borderId="1" xfId="1" applyNumberFormat="1" applyFont="1" applyBorder="1" applyAlignment="1">
      <alignment horizontal="center"/>
    </xf>
    <xf numFmtId="0" fontId="12" fillId="0" borderId="0" xfId="0" applyFont="1"/>
    <xf numFmtId="0" fontId="5" fillId="0" borderId="62" xfId="0" applyFont="1" applyBorder="1" applyAlignment="1">
      <alignment horizontal="center"/>
    </xf>
    <xf numFmtId="0" fontId="5" fillId="0" borderId="13" xfId="0" applyFont="1" applyBorder="1" applyAlignment="1">
      <alignment horizontal="center"/>
    </xf>
    <xf numFmtId="166" fontId="5" fillId="0" borderId="13" xfId="1" applyNumberFormat="1" applyFont="1" applyBorder="1" applyAlignment="1">
      <alignment horizontal="center"/>
    </xf>
    <xf numFmtId="166" fontId="5" fillId="0" borderId="0" xfId="1" applyNumberFormat="1" applyFont="1" applyBorder="1" applyAlignment="1">
      <alignment horizontal="center"/>
    </xf>
    <xf numFmtId="18" fontId="31" fillId="0" borderId="63" xfId="0" applyNumberFormat="1" applyFont="1" applyBorder="1" applyAlignment="1">
      <alignment horizontal="center"/>
    </xf>
    <xf numFmtId="0" fontId="31" fillId="0" borderId="63" xfId="0" applyFont="1" applyBorder="1" applyAlignment="1">
      <alignment horizontal="center"/>
    </xf>
    <xf numFmtId="43" fontId="31" fillId="0" borderId="0" xfId="1" applyFont="1"/>
    <xf numFmtId="43" fontId="31" fillId="0" borderId="6" xfId="1" applyFont="1" applyBorder="1"/>
    <xf numFmtId="43" fontId="31" fillId="0" borderId="6" xfId="1" applyFont="1" applyBorder="1" applyAlignment="1"/>
    <xf numFmtId="43" fontId="31" fillId="0" borderId="63" xfId="1" applyFont="1" applyBorder="1"/>
    <xf numFmtId="0" fontId="31" fillId="0" borderId="6" xfId="1" applyNumberFormat="1" applyFont="1" applyBorder="1"/>
    <xf numFmtId="2" fontId="31" fillId="0" borderId="63" xfId="0" applyNumberFormat="1" applyFont="1" applyBorder="1" applyAlignment="1">
      <alignment horizontal="center"/>
    </xf>
    <xf numFmtId="0" fontId="31" fillId="0" borderId="6" xfId="0" applyFont="1" applyBorder="1" applyAlignment="1">
      <alignment horizontal="left"/>
    </xf>
    <xf numFmtId="0" fontId="31" fillId="0" borderId="12" xfId="0" applyFont="1" applyBorder="1" applyAlignment="1">
      <alignment horizontal="left"/>
    </xf>
    <xf numFmtId="165" fontId="30" fillId="0" borderId="61" xfId="0" applyNumberFormat="1" applyFont="1" applyBorder="1" applyAlignment="1">
      <alignment horizontal="left"/>
    </xf>
    <xf numFmtId="0" fontId="5" fillId="0" borderId="0" xfId="0" applyFont="1"/>
    <xf numFmtId="166" fontId="20" fillId="0" borderId="14" xfId="1" applyNumberFormat="1" applyFont="1" applyBorder="1" applyAlignment="1">
      <alignment horizontal="right"/>
    </xf>
    <xf numFmtId="165" fontId="8" fillId="0" borderId="1" xfId="0" applyNumberFormat="1" applyFont="1" applyBorder="1"/>
    <xf numFmtId="0" fontId="8" fillId="0" borderId="2" xfId="0" applyFont="1" applyBorder="1"/>
    <xf numFmtId="166" fontId="8" fillId="0" borderId="0" xfId="1" applyNumberFormat="1" applyFont="1" applyBorder="1"/>
    <xf numFmtId="166" fontId="8" fillId="0" borderId="12" xfId="1" applyNumberFormat="1" applyFont="1" applyBorder="1"/>
    <xf numFmtId="0" fontId="5" fillId="0" borderId="2" xfId="0" applyFont="1" applyBorder="1"/>
    <xf numFmtId="166" fontId="8" fillId="0" borderId="2" xfId="1" applyNumberFormat="1" applyFont="1" applyBorder="1"/>
    <xf numFmtId="166" fontId="8" fillId="0" borderId="5" xfId="1" applyNumberFormat="1" applyFont="1" applyBorder="1"/>
    <xf numFmtId="165" fontId="0" fillId="0" borderId="6" xfId="0" applyNumberFormat="1" applyBorder="1"/>
    <xf numFmtId="166" fontId="8" fillId="0" borderId="0" xfId="1" applyNumberFormat="1" applyFont="1" applyBorder="1" applyAlignment="1">
      <alignment horizontal="center"/>
    </xf>
    <xf numFmtId="0" fontId="8" fillId="0" borderId="14" xfId="0" applyFont="1" applyBorder="1" applyAlignment="1">
      <alignment horizontal="center"/>
    </xf>
    <xf numFmtId="0" fontId="8" fillId="0" borderId="13" xfId="0" applyFont="1" applyBorder="1"/>
    <xf numFmtId="166" fontId="8" fillId="0" borderId="14" xfId="1" applyNumberFormat="1" applyFont="1" applyBorder="1" applyAlignment="1">
      <alignment horizontal="center"/>
    </xf>
    <xf numFmtId="166" fontId="8" fillId="0" borderId="16" xfId="1" applyNumberFormat="1" applyFont="1" applyBorder="1"/>
    <xf numFmtId="165" fontId="8" fillId="0" borderId="0" xfId="0" applyNumberFormat="1" applyFont="1"/>
    <xf numFmtId="166" fontId="8" fillId="0" borderId="0" xfId="1" applyNumberFormat="1" applyFont="1"/>
    <xf numFmtId="0" fontId="36" fillId="0" borderId="17" xfId="0" applyFont="1" applyBorder="1" applyAlignment="1">
      <alignment wrapText="1"/>
    </xf>
    <xf numFmtId="0" fontId="34" fillId="0" borderId="17" xfId="0" applyFont="1" applyBorder="1" applyAlignment="1">
      <alignment horizontal="left" vertical="center"/>
    </xf>
    <xf numFmtId="0" fontId="32" fillId="0" borderId="17" xfId="0" applyFont="1" applyBorder="1"/>
    <xf numFmtId="0" fontId="32" fillId="0" borderId="40" xfId="0" applyFont="1" applyBorder="1" applyAlignment="1">
      <alignment horizontal="center"/>
    </xf>
    <xf numFmtId="0" fontId="32" fillId="0" borderId="40" xfId="0" applyFont="1" applyBorder="1"/>
    <xf numFmtId="14" fontId="32" fillId="0" borderId="40" xfId="0" applyNumberFormat="1" applyFont="1" applyBorder="1" applyAlignment="1">
      <alignment horizontal="center"/>
    </xf>
    <xf numFmtId="165" fontId="39" fillId="0" borderId="48" xfId="2" quotePrefix="1" applyNumberFormat="1" applyFont="1" applyBorder="1"/>
    <xf numFmtId="0" fontId="39" fillId="0" borderId="11" xfId="2" quotePrefix="1" applyFont="1" applyBorder="1"/>
    <xf numFmtId="0" fontId="39" fillId="0" borderId="0" xfId="2" applyFont="1"/>
    <xf numFmtId="0" fontId="39" fillId="0" borderId="12" xfId="2" applyFont="1" applyBorder="1"/>
    <xf numFmtId="41" fontId="39" fillId="0" borderId="48" xfId="3" applyNumberFormat="1" applyFont="1" applyBorder="1"/>
    <xf numFmtId="0" fontId="39" fillId="0" borderId="11" xfId="2" applyFont="1" applyBorder="1"/>
    <xf numFmtId="0" fontId="39" fillId="0" borderId="7" xfId="2" applyFont="1" applyBorder="1"/>
    <xf numFmtId="0" fontId="39" fillId="0" borderId="47" xfId="2" applyFont="1" applyBorder="1"/>
    <xf numFmtId="41" fontId="39" fillId="0" borderId="47" xfId="3" applyNumberFormat="1" applyFont="1" applyBorder="1"/>
    <xf numFmtId="41" fontId="39" fillId="0" borderId="12" xfId="3" applyNumberFormat="1" applyFont="1" applyBorder="1"/>
    <xf numFmtId="0" fontId="39" fillId="0" borderId="48" xfId="2" applyFont="1" applyBorder="1"/>
    <xf numFmtId="41" fontId="39" fillId="0" borderId="11" xfId="3" applyNumberFormat="1" applyFont="1" applyBorder="1"/>
    <xf numFmtId="41" fontId="39" fillId="0" borderId="7" xfId="3" applyNumberFormat="1" applyFont="1" applyBorder="1"/>
    <xf numFmtId="41" fontId="39" fillId="0" borderId="12" xfId="2" applyNumberFormat="1" applyFont="1" applyBorder="1"/>
    <xf numFmtId="43" fontId="39" fillId="0" borderId="48" xfId="3" applyFont="1" applyBorder="1"/>
    <xf numFmtId="43" fontId="39" fillId="0" borderId="7" xfId="3" applyFont="1" applyBorder="1"/>
    <xf numFmtId="43" fontId="39" fillId="0" borderId="55" xfId="3" applyFont="1" applyBorder="1"/>
    <xf numFmtId="43" fontId="39" fillId="0" borderId="47" xfId="3" applyFont="1" applyBorder="1"/>
    <xf numFmtId="165" fontId="39" fillId="0" borderId="48" xfId="2" applyNumberFormat="1" applyFont="1" applyBorder="1"/>
    <xf numFmtId="165" fontId="39" fillId="0" borderId="56" xfId="2" applyNumberFormat="1" applyFont="1" applyBorder="1"/>
    <xf numFmtId="0" fontId="39" fillId="0" borderId="18" xfId="2" applyFont="1" applyBorder="1"/>
    <xf numFmtId="0" fontId="39" fillId="0" borderId="14" xfId="2" applyFont="1" applyBorder="1"/>
    <xf numFmtId="0" fontId="39" fillId="0" borderId="16" xfId="2" applyFont="1" applyBorder="1"/>
    <xf numFmtId="0" fontId="39" fillId="0" borderId="56" xfId="2" applyFont="1" applyBorder="1"/>
    <xf numFmtId="0" fontId="39" fillId="0" borderId="15" xfId="2" applyFont="1" applyBorder="1"/>
    <xf numFmtId="0" fontId="39" fillId="0" borderId="46" xfId="2" applyFont="1" applyBorder="1"/>
    <xf numFmtId="43" fontId="29" fillId="0" borderId="53" xfId="1" applyFont="1" applyBorder="1" applyAlignment="1">
      <alignment horizontal="right"/>
    </xf>
    <xf numFmtId="0" fontId="5" fillId="0" borderId="52" xfId="0" applyFont="1" applyBorder="1"/>
    <xf numFmtId="18" fontId="31" fillId="0" borderId="61" xfId="0" applyNumberFormat="1" applyFont="1" applyBorder="1" applyAlignment="1">
      <alignment horizontal="center"/>
    </xf>
    <xf numFmtId="0" fontId="31" fillId="0" borderId="61" xfId="0" applyFont="1" applyBorder="1" applyAlignment="1">
      <alignment horizontal="center"/>
    </xf>
    <xf numFmtId="166" fontId="31" fillId="0" borderId="13" xfId="1" applyNumberFormat="1" applyFont="1" applyBorder="1"/>
    <xf numFmtId="0" fontId="31" fillId="0" borderId="13" xfId="1" applyNumberFormat="1" applyFont="1" applyBorder="1"/>
    <xf numFmtId="0" fontId="32" fillId="0" borderId="39" xfId="0" applyFont="1" applyBorder="1"/>
    <xf numFmtId="0" fontId="32" fillId="0" borderId="64" xfId="0" applyFont="1" applyBorder="1"/>
    <xf numFmtId="0" fontId="8" fillId="0" borderId="0" xfId="4" applyFont="1"/>
    <xf numFmtId="0" fontId="14" fillId="0" borderId="0" xfId="4"/>
    <xf numFmtId="0" fontId="5" fillId="0" borderId="0" xfId="4" applyFont="1" applyAlignment="1">
      <alignment horizontal="center"/>
    </xf>
    <xf numFmtId="0" fontId="8" fillId="0" borderId="20" xfId="4" applyFont="1" applyBorder="1"/>
    <xf numFmtId="0" fontId="8" fillId="0" borderId="21" xfId="4" applyFont="1" applyBorder="1"/>
    <xf numFmtId="0" fontId="8" fillId="0" borderId="22" xfId="4" applyFont="1" applyBorder="1"/>
    <xf numFmtId="0" fontId="8" fillId="0" borderId="23" xfId="4" applyFont="1" applyBorder="1"/>
    <xf numFmtId="0" fontId="8" fillId="0" borderId="65" xfId="4" applyFont="1" applyBorder="1"/>
    <xf numFmtId="0" fontId="8" fillId="0" borderId="11" xfId="4" applyFont="1" applyBorder="1"/>
    <xf numFmtId="0" fontId="8" fillId="0" borderId="47" xfId="4" applyFont="1" applyBorder="1"/>
    <xf numFmtId="0" fontId="8" fillId="0" borderId="6" xfId="4" applyFont="1" applyBorder="1" applyAlignment="1">
      <alignment horizontal="center"/>
    </xf>
    <xf numFmtId="0" fontId="8" fillId="0" borderId="0" xfId="4" applyFont="1" applyAlignment="1">
      <alignment horizontal="center"/>
    </xf>
    <xf numFmtId="0" fontId="8" fillId="0" borderId="7" xfId="4" applyFont="1" applyBorder="1" applyAlignment="1">
      <alignment horizontal="center"/>
    </xf>
    <xf numFmtId="41" fontId="8" fillId="0" borderId="11" xfId="1" applyNumberFormat="1" applyFont="1" applyBorder="1" applyAlignment="1">
      <alignment horizontal="center"/>
    </xf>
    <xf numFmtId="41" fontId="8" fillId="0" borderId="12" xfId="1" applyNumberFormat="1" applyFont="1" applyBorder="1" applyAlignment="1">
      <alignment horizontal="center"/>
    </xf>
    <xf numFmtId="0" fontId="8" fillId="0" borderId="6" xfId="4" applyFont="1" applyBorder="1"/>
    <xf numFmtId="0" fontId="8" fillId="0" borderId="7" xfId="4" applyFont="1" applyBorder="1"/>
    <xf numFmtId="0" fontId="8" fillId="0" borderId="0" xfId="4" applyFont="1" applyAlignment="1">
      <alignment vertical="center" wrapText="1"/>
    </xf>
    <xf numFmtId="0" fontId="8" fillId="0" borderId="47" xfId="4" applyFont="1" applyBorder="1" applyAlignment="1">
      <alignment horizontal="center"/>
    </xf>
    <xf numFmtId="0" fontId="8" fillId="0" borderId="13" xfId="4" applyFont="1" applyBorder="1"/>
    <xf numFmtId="0" fontId="8" fillId="0" borderId="14" xfId="4" applyFont="1" applyBorder="1" applyAlignment="1">
      <alignment wrapText="1"/>
    </xf>
    <xf numFmtId="0" fontId="8" fillId="0" borderId="15" xfId="4" applyFont="1" applyBorder="1" applyAlignment="1">
      <alignment wrapText="1"/>
    </xf>
    <xf numFmtId="0" fontId="8" fillId="0" borderId="18" xfId="4" applyFont="1" applyBorder="1" applyAlignment="1">
      <alignment wrapText="1"/>
    </xf>
    <xf numFmtId="0" fontId="5" fillId="0" borderId="2" xfId="4" applyFont="1" applyBorder="1" applyAlignment="1">
      <alignment vertical="center"/>
    </xf>
    <xf numFmtId="0" fontId="8" fillId="0" borderId="2" xfId="4" applyFont="1" applyBorder="1"/>
    <xf numFmtId="0" fontId="8" fillId="0" borderId="2" xfId="4" applyFont="1" applyBorder="1" applyAlignment="1">
      <alignment wrapText="1"/>
    </xf>
    <xf numFmtId="0" fontId="5" fillId="0" borderId="2" xfId="4" applyFont="1" applyBorder="1" applyAlignment="1">
      <alignment wrapText="1"/>
    </xf>
    <xf numFmtId="0" fontId="5" fillId="0" borderId="5" xfId="4" applyFont="1" applyBorder="1" applyAlignment="1">
      <alignment wrapText="1"/>
    </xf>
    <xf numFmtId="0" fontId="5" fillId="0" borderId="2" xfId="4" applyFont="1" applyBorder="1" applyAlignment="1">
      <alignment horizontal="left" vertical="center" wrapText="1"/>
    </xf>
    <xf numFmtId="0" fontId="8" fillId="0" borderId="12" xfId="4" applyFont="1" applyBorder="1"/>
    <xf numFmtId="0" fontId="5" fillId="0" borderId="0" xfId="4" applyFont="1"/>
    <xf numFmtId="0" fontId="5" fillId="0" borderId="6" xfId="4" applyFont="1" applyBorder="1"/>
    <xf numFmtId="0" fontId="8" fillId="0" borderId="6" xfId="4" applyFont="1" applyBorder="1" applyAlignment="1">
      <alignment wrapText="1"/>
    </xf>
    <xf numFmtId="0" fontId="8" fillId="0" borderId="0" xfId="4" applyFont="1" applyAlignment="1">
      <alignment wrapText="1"/>
    </xf>
    <xf numFmtId="0" fontId="8" fillId="0" borderId="0" xfId="4" applyFont="1" applyAlignment="1">
      <alignment horizontal="left"/>
    </xf>
    <xf numFmtId="0" fontId="8" fillId="0" borderId="6" xfId="4" applyFont="1" applyBorder="1" applyAlignment="1">
      <alignment vertical="center" wrapText="1"/>
    </xf>
    <xf numFmtId="0" fontId="8" fillId="0" borderId="12" xfId="4" applyFont="1" applyBorder="1" applyAlignment="1">
      <alignment vertical="center" wrapText="1"/>
    </xf>
    <xf numFmtId="0" fontId="8" fillId="0" borderId="13" xfId="4" applyFont="1" applyBorder="1" applyAlignment="1">
      <alignment vertical="center" wrapText="1"/>
    </xf>
    <xf numFmtId="0" fontId="8" fillId="0" borderId="14" xfId="4" applyFont="1" applyBorder="1" applyAlignment="1">
      <alignment vertical="center" wrapText="1"/>
    </xf>
    <xf numFmtId="0" fontId="8" fillId="0" borderId="16" xfId="4" applyFont="1" applyBorder="1" applyAlignment="1">
      <alignment vertical="center" wrapText="1"/>
    </xf>
    <xf numFmtId="0" fontId="8" fillId="0" borderId="16" xfId="4" applyFont="1" applyBorder="1" applyAlignment="1">
      <alignment wrapText="1"/>
    </xf>
    <xf numFmtId="0" fontId="8" fillId="0" borderId="49" xfId="4" applyFont="1" applyBorder="1"/>
    <xf numFmtId="0" fontId="8" fillId="0" borderId="4" xfId="4" applyFont="1" applyBorder="1"/>
    <xf numFmtId="0" fontId="8" fillId="0" borderId="5" xfId="4" applyFont="1" applyBorder="1"/>
    <xf numFmtId="0" fontId="5" fillId="0" borderId="50" xfId="4" applyFont="1" applyBorder="1"/>
    <xf numFmtId="0" fontId="8" fillId="0" borderId="55" xfId="4" applyFont="1" applyBorder="1" applyAlignment="1">
      <alignment horizontal="center" wrapText="1"/>
    </xf>
    <xf numFmtId="0" fontId="8" fillId="0" borderId="37" xfId="4" applyFont="1" applyBorder="1" applyAlignment="1">
      <alignment horizontal="center" vertical="top"/>
    </xf>
    <xf numFmtId="0" fontId="8" fillId="0" borderId="66" xfId="4" applyFont="1" applyBorder="1" applyAlignment="1">
      <alignment horizontal="center" vertical="top" wrapText="1"/>
    </xf>
    <xf numFmtId="0" fontId="8" fillId="0" borderId="18" xfId="4" applyFont="1" applyBorder="1"/>
    <xf numFmtId="0" fontId="8" fillId="0" borderId="14" xfId="4" applyFont="1" applyBorder="1"/>
    <xf numFmtId="0" fontId="8" fillId="0" borderId="15" xfId="4" applyFont="1" applyBorder="1"/>
    <xf numFmtId="0" fontId="8" fillId="0" borderId="46" xfId="4" applyFont="1" applyBorder="1"/>
    <xf numFmtId="0" fontId="8" fillId="0" borderId="16" xfId="4" applyFont="1" applyBorder="1"/>
    <xf numFmtId="0" fontId="10" fillId="0" borderId="11" xfId="4" applyFont="1" applyBorder="1"/>
    <xf numFmtId="0" fontId="11" fillId="0" borderId="21" xfId="4" applyFont="1" applyBorder="1" applyAlignment="1">
      <alignment vertical="center"/>
    </xf>
    <xf numFmtId="0" fontId="11" fillId="0" borderId="0" xfId="4" applyFont="1" applyAlignment="1">
      <alignment vertical="center"/>
    </xf>
    <xf numFmtId="0" fontId="11" fillId="0" borderId="23" xfId="4" applyFont="1" applyBorder="1" applyAlignment="1">
      <alignment horizontal="left" vertical="center"/>
    </xf>
    <xf numFmtId="0" fontId="10" fillId="0" borderId="11" xfId="4" quotePrefix="1" applyFont="1" applyBorder="1"/>
    <xf numFmtId="0" fontId="10" fillId="0" borderId="0" xfId="4" applyFont="1"/>
    <xf numFmtId="0" fontId="10" fillId="0" borderId="7" xfId="4" applyFont="1" applyBorder="1"/>
    <xf numFmtId="41" fontId="10" fillId="0" borderId="47" xfId="1" applyNumberFormat="1" applyFont="1" applyBorder="1"/>
    <xf numFmtId="0" fontId="10" fillId="0" borderId="22" xfId="4" applyFont="1" applyBorder="1"/>
    <xf numFmtId="0" fontId="10" fillId="0" borderId="47" xfId="4" applyFont="1" applyBorder="1"/>
    <xf numFmtId="41" fontId="10" fillId="0" borderId="65" xfId="1" applyNumberFormat="1" applyFont="1" applyBorder="1"/>
    <xf numFmtId="41" fontId="10" fillId="0" borderId="12" xfId="1" applyNumberFormat="1" applyFont="1" applyBorder="1"/>
    <xf numFmtId="41" fontId="10" fillId="0" borderId="11" xfId="1" applyNumberFormat="1" applyFont="1" applyBorder="1"/>
    <xf numFmtId="41" fontId="10" fillId="0" borderId="7" xfId="1" applyNumberFormat="1" applyFont="1" applyBorder="1"/>
    <xf numFmtId="41" fontId="10" fillId="0" borderId="12" xfId="4" applyNumberFormat="1" applyFont="1" applyBorder="1"/>
    <xf numFmtId="43" fontId="10" fillId="0" borderId="47" xfId="1" applyFont="1" applyBorder="1"/>
    <xf numFmtId="43" fontId="10" fillId="0" borderId="55" xfId="1" applyFont="1" applyBorder="1"/>
    <xf numFmtId="0" fontId="10" fillId="0" borderId="12" xfId="4" applyFont="1" applyBorder="1"/>
    <xf numFmtId="0" fontId="20" fillId="0" borderId="0" xfId="4" applyFont="1" applyAlignment="1">
      <alignment vertical="center" wrapText="1"/>
    </xf>
    <xf numFmtId="0" fontId="11" fillId="0" borderId="0" xfId="4" applyFont="1" applyAlignment="1">
      <alignment vertical="center" wrapText="1"/>
    </xf>
    <xf numFmtId="0" fontId="11" fillId="0" borderId="12" xfId="4" applyFont="1" applyBorder="1" applyAlignment="1">
      <alignment vertical="center" wrapText="1"/>
    </xf>
    <xf numFmtId="0" fontId="11" fillId="0" borderId="12" xfId="4" applyFont="1" applyBorder="1" applyAlignment="1">
      <alignment vertical="center"/>
    </xf>
    <xf numFmtId="43" fontId="10" fillId="0" borderId="47" xfId="4" applyNumberFormat="1" applyFont="1" applyBorder="1"/>
    <xf numFmtId="0" fontId="8" fillId="0" borderId="0" xfId="4" applyFont="1" applyAlignment="1">
      <alignment vertical="center"/>
    </xf>
    <xf numFmtId="0" fontId="11" fillId="0" borderId="47" xfId="4" applyFont="1" applyBorder="1"/>
    <xf numFmtId="0" fontId="11" fillId="0" borderId="11" xfId="4" applyFont="1" applyBorder="1"/>
    <xf numFmtId="0" fontId="11" fillId="0" borderId="7" xfId="4" applyFont="1" applyBorder="1"/>
    <xf numFmtId="0" fontId="10" fillId="0" borderId="47" xfId="4" applyFont="1" applyBorder="1" applyAlignment="1">
      <alignment horizontal="center" vertical="center"/>
    </xf>
    <xf numFmtId="0" fontId="8" fillId="0" borderId="0" xfId="2" applyFont="1" applyAlignment="1">
      <alignment vertical="center"/>
    </xf>
    <xf numFmtId="0" fontId="8" fillId="0" borderId="47" xfId="4" applyFont="1" applyBorder="1" applyAlignment="1">
      <alignment horizontal="center" vertical="center" wrapText="1"/>
    </xf>
    <xf numFmtId="0" fontId="14" fillId="0" borderId="0" xfId="0" applyFont="1"/>
    <xf numFmtId="49" fontId="14" fillId="0" borderId="0" xfId="0" applyNumberFormat="1" applyFont="1" applyAlignment="1">
      <alignment horizontal="left"/>
    </xf>
    <xf numFmtId="0" fontId="5" fillId="0" borderId="14" xfId="0" applyFont="1" applyBorder="1" applyAlignment="1">
      <alignment horizontal="center"/>
    </xf>
    <xf numFmtId="0" fontId="0" fillId="0" borderId="9" xfId="0" applyBorder="1"/>
    <xf numFmtId="0" fontId="14" fillId="0" borderId="9" xfId="0" applyFont="1" applyBorder="1"/>
    <xf numFmtId="0" fontId="0" fillId="0" borderId="40" xfId="0" applyBorder="1"/>
    <xf numFmtId="0" fontId="0" fillId="0" borderId="64" xfId="0" applyBorder="1"/>
    <xf numFmtId="0" fontId="31" fillId="0" borderId="63" xfId="0" applyFont="1" applyBorder="1" applyAlignment="1">
      <alignment horizontal="center" wrapText="1"/>
    </xf>
    <xf numFmtId="0" fontId="31" fillId="0" borderId="6" xfId="0" applyFont="1" applyBorder="1"/>
    <xf numFmtId="18" fontId="31" fillId="0" borderId="63" xfId="0" applyNumberFormat="1" applyFont="1" applyBorder="1" applyAlignment="1">
      <alignment horizontal="center" vertical="top"/>
    </xf>
    <xf numFmtId="2" fontId="31" fillId="0" borderId="63" xfId="0" applyNumberFormat="1" applyFont="1" applyBorder="1" applyAlignment="1">
      <alignment horizontal="center" vertical="top"/>
    </xf>
    <xf numFmtId="43" fontId="31" fillId="0" borderId="6" xfId="1" applyFont="1" applyBorder="1" applyAlignment="1">
      <alignment vertical="top"/>
    </xf>
    <xf numFmtId="43" fontId="31" fillId="0" borderId="63" xfId="1" applyFont="1" applyBorder="1" applyAlignment="1">
      <alignment vertical="top"/>
    </xf>
    <xf numFmtId="0" fontId="31" fillId="0" borderId="6" xfId="0" applyFont="1" applyBorder="1" applyAlignment="1">
      <alignment horizontal="left" vertical="top"/>
    </xf>
    <xf numFmtId="0" fontId="31" fillId="0" borderId="12" xfId="0" applyFont="1" applyBorder="1" applyAlignment="1">
      <alignment horizontal="left" vertical="top"/>
    </xf>
    <xf numFmtId="14" fontId="31" fillId="0" borderId="63" xfId="0" quotePrefix="1" applyNumberFormat="1" applyFont="1" applyBorder="1" applyAlignment="1">
      <alignment horizontal="center" wrapText="1"/>
    </xf>
    <xf numFmtId="14" fontId="31" fillId="0" borderId="63" xfId="0" applyNumberFormat="1" applyFont="1" applyBorder="1" applyAlignment="1">
      <alignment horizontal="left" vertical="top"/>
    </xf>
    <xf numFmtId="0" fontId="10" fillId="0" borderId="11" xfId="4" quotePrefix="1" applyFont="1" applyBorder="1" applyAlignment="1">
      <alignment horizontal="left" wrapText="1"/>
    </xf>
    <xf numFmtId="0" fontId="10" fillId="0" borderId="0" xfId="4" quotePrefix="1" applyFont="1" applyAlignment="1">
      <alignment horizontal="left" wrapText="1"/>
    </xf>
    <xf numFmtId="0" fontId="10" fillId="0" borderId="7" xfId="4" quotePrefix="1" applyFont="1" applyBorder="1" applyAlignment="1">
      <alignment horizontal="left" wrapText="1"/>
    </xf>
    <xf numFmtId="43" fontId="10" fillId="0" borderId="11" xfId="1" applyFont="1" applyBorder="1" applyAlignment="1">
      <alignment horizontal="center"/>
    </xf>
    <xf numFmtId="43" fontId="10" fillId="0" borderId="7" xfId="1" applyFont="1" applyBorder="1" applyAlignment="1">
      <alignment horizontal="center"/>
    </xf>
    <xf numFmtId="0" fontId="31" fillId="0" borderId="6" xfId="0" applyFont="1" applyBorder="1" applyAlignment="1">
      <alignment vertical="center"/>
    </xf>
    <xf numFmtId="0" fontId="31" fillId="0" borderId="12" xfId="0" applyFont="1" applyBorder="1" applyAlignment="1">
      <alignment vertical="center"/>
    </xf>
    <xf numFmtId="18" fontId="31" fillId="0" borderId="63" xfId="0" quotePrefix="1" applyNumberFormat="1" applyFont="1" applyBorder="1" applyAlignment="1">
      <alignment horizontal="center"/>
    </xf>
    <xf numFmtId="0" fontId="31" fillId="0" borderId="6" xfId="0" applyFont="1" applyBorder="1" applyAlignment="1">
      <alignment vertical="top" wrapText="1"/>
    </xf>
    <xf numFmtId="0" fontId="31" fillId="0" borderId="12" xfId="0" applyFont="1" applyBorder="1" applyAlignment="1">
      <alignment vertical="top" wrapText="1"/>
    </xf>
    <xf numFmtId="43" fontId="10" fillId="0" borderId="12" xfId="1" applyFont="1" applyBorder="1"/>
    <xf numFmtId="0" fontId="31" fillId="0" borderId="6" xfId="0" applyFont="1" applyBorder="1" applyAlignment="1">
      <alignment horizontal="left"/>
    </xf>
    <xf numFmtId="0" fontId="31" fillId="0" borderId="12" xfId="0" applyFont="1" applyBorder="1" applyAlignment="1">
      <alignment horizontal="left"/>
    </xf>
    <xf numFmtId="0" fontId="31" fillId="0" borderId="6" xfId="0" applyFont="1" applyBorder="1" applyAlignment="1">
      <alignment horizontal="left" vertical="top"/>
    </xf>
    <xf numFmtId="0" fontId="31" fillId="0" borderId="12" xfId="0" applyFont="1" applyBorder="1" applyAlignment="1">
      <alignment horizontal="left" vertical="top"/>
    </xf>
    <xf numFmtId="14" fontId="31" fillId="0" borderId="63" xfId="0" quotePrefix="1" applyNumberFormat="1" applyFont="1" applyBorder="1" applyAlignment="1">
      <alignment vertical="top" wrapText="1"/>
    </xf>
    <xf numFmtId="49" fontId="31" fillId="0" borderId="60" xfId="0" quotePrefix="1" applyNumberFormat="1" applyFont="1" applyBorder="1" applyAlignment="1">
      <alignment vertical="center" wrapText="1"/>
    </xf>
    <xf numFmtId="49" fontId="31" fillId="0" borderId="63" xfId="0" quotePrefix="1" applyNumberFormat="1" applyFont="1" applyBorder="1" applyAlignment="1">
      <alignment vertical="center" wrapText="1"/>
    </xf>
    <xf numFmtId="0" fontId="31" fillId="0" borderId="6" xfId="0" applyFont="1" applyBorder="1" applyAlignment="1"/>
    <xf numFmtId="0" fontId="31" fillId="0" borderId="12" xfId="0" applyFont="1" applyBorder="1" applyAlignment="1"/>
    <xf numFmtId="0" fontId="31" fillId="0" borderId="13" xfId="0" applyFont="1" applyBorder="1" applyAlignment="1">
      <alignment vertical="top" wrapText="1"/>
    </xf>
    <xf numFmtId="0" fontId="31" fillId="0" borderId="16" xfId="0" applyFont="1" applyBorder="1" applyAlignment="1">
      <alignment vertical="top" wrapText="1"/>
    </xf>
    <xf numFmtId="0" fontId="12" fillId="0" borderId="0" xfId="0" applyFont="1" applyAlignment="1">
      <alignment horizontal="center"/>
    </xf>
    <xf numFmtId="0" fontId="0" fillId="0" borderId="0" xfId="0" applyAlignment="1">
      <alignment horizontal="center"/>
    </xf>
    <xf numFmtId="0" fontId="0" fillId="0" borderId="0" xfId="0" quotePrefix="1"/>
    <xf numFmtId="0" fontId="10" fillId="0" borderId="11" xfId="4" quotePrefix="1" applyFont="1" applyBorder="1" applyAlignment="1">
      <alignment horizontal="left" wrapText="1"/>
    </xf>
    <xf numFmtId="0" fontId="10" fillId="0" borderId="0" xfId="4" quotePrefix="1" applyFont="1" applyAlignment="1">
      <alignment horizontal="left" wrapText="1"/>
    </xf>
    <xf numFmtId="0" fontId="10" fillId="0" borderId="7" xfId="4" quotePrefix="1" applyFont="1" applyBorder="1" applyAlignment="1">
      <alignment horizontal="left" wrapText="1"/>
    </xf>
    <xf numFmtId="43" fontId="10" fillId="0" borderId="11" xfId="1" applyFont="1" applyBorder="1" applyAlignment="1">
      <alignment horizontal="center"/>
    </xf>
    <xf numFmtId="43" fontId="10" fillId="0" borderId="7" xfId="1" applyFont="1" applyBorder="1" applyAlignment="1">
      <alignment horizontal="center"/>
    </xf>
    <xf numFmtId="0" fontId="5" fillId="0" borderId="0" xfId="4" applyFont="1" applyAlignment="1">
      <alignment horizontal="center"/>
    </xf>
    <xf numFmtId="0" fontId="8" fillId="0" borderId="0" xfId="4" applyFont="1" applyAlignment="1">
      <alignment horizontal="center"/>
    </xf>
    <xf numFmtId="0" fontId="8" fillId="0" borderId="6" xfId="4" applyFont="1" applyBorder="1" applyAlignment="1">
      <alignment wrapText="1"/>
    </xf>
    <xf numFmtId="0" fontId="8" fillId="0" borderId="2" xfId="4" applyFont="1" applyBorder="1" applyAlignment="1">
      <alignment wrapText="1"/>
    </xf>
    <xf numFmtId="0" fontId="8" fillId="0" borderId="6" xfId="4" applyFont="1" applyBorder="1" applyAlignment="1">
      <alignment horizontal="center"/>
    </xf>
    <xf numFmtId="0" fontId="8" fillId="0" borderId="7" xfId="4" applyFont="1" applyBorder="1" applyAlignment="1">
      <alignment horizontal="center"/>
    </xf>
    <xf numFmtId="41" fontId="8" fillId="0" borderId="11" xfId="1" applyNumberFormat="1" applyFont="1" applyBorder="1" applyAlignment="1">
      <alignment horizontal="center"/>
    </xf>
    <xf numFmtId="41" fontId="8" fillId="0" borderId="12" xfId="1" applyNumberFormat="1" applyFont="1" applyBorder="1" applyAlignment="1">
      <alignment horizontal="center"/>
    </xf>
    <xf numFmtId="0" fontId="34" fillId="0" borderId="17" xfId="0" applyFont="1" applyBorder="1" applyAlignment="1">
      <alignment horizontal="left" vertical="center"/>
    </xf>
    <xf numFmtId="0" fontId="32" fillId="0" borderId="40" xfId="0" applyFont="1" applyBorder="1" applyAlignment="1">
      <alignment horizontal="center"/>
    </xf>
    <xf numFmtId="164" fontId="0" fillId="0" borderId="0" xfId="0" applyNumberFormat="1" applyAlignment="1">
      <alignment horizontal="center"/>
    </xf>
    <xf numFmtId="0" fontId="31" fillId="0" borderId="0" xfId="0" applyFont="1" applyBorder="1" applyAlignment="1"/>
    <xf numFmtId="14" fontId="31" fillId="0" borderId="63" xfId="0" applyNumberFormat="1" applyFont="1" applyBorder="1" applyAlignment="1">
      <alignment vertical="top" wrapText="1"/>
    </xf>
    <xf numFmtId="0" fontId="0" fillId="0" borderId="0" xfId="0" applyAlignment="1">
      <alignment horizontal="left"/>
    </xf>
    <xf numFmtId="0" fontId="10" fillId="0" borderId="11" xfId="4" quotePrefix="1" applyFont="1" applyBorder="1" applyAlignment="1">
      <alignment horizontal="left" wrapText="1"/>
    </xf>
    <xf numFmtId="0" fontId="10" fillId="0" borderId="0" xfId="4" quotePrefix="1" applyFont="1" applyAlignment="1">
      <alignment horizontal="left" wrapText="1"/>
    </xf>
    <xf numFmtId="0" fontId="10" fillId="0" borderId="7" xfId="4" quotePrefix="1" applyFont="1" applyBorder="1" applyAlignment="1">
      <alignment horizontal="left" wrapText="1"/>
    </xf>
    <xf numFmtId="43" fontId="10" fillId="0" borderId="11" xfId="1" applyFont="1" applyBorder="1" applyAlignment="1">
      <alignment horizontal="center"/>
    </xf>
    <xf numFmtId="43" fontId="10" fillId="0" borderId="7" xfId="1" applyFont="1" applyBorder="1" applyAlignment="1">
      <alignment horizontal="center"/>
    </xf>
    <xf numFmtId="0" fontId="8" fillId="0" borderId="19" xfId="4" applyFont="1" applyBorder="1" applyAlignment="1">
      <alignment horizontal="center" vertical="top"/>
    </xf>
    <xf numFmtId="0" fontId="5" fillId="0" borderId="0" xfId="4" applyFont="1" applyAlignment="1">
      <alignment horizontal="center"/>
    </xf>
    <xf numFmtId="0" fontId="8" fillId="0" borderId="0" xfId="4" applyFont="1" applyAlignment="1">
      <alignment horizontal="center"/>
    </xf>
    <xf numFmtId="0" fontId="8" fillId="0" borderId="6" xfId="4" applyFont="1" applyBorder="1" applyAlignment="1">
      <alignment wrapText="1"/>
    </xf>
    <xf numFmtId="0" fontId="8" fillId="0" borderId="2" xfId="4" applyFont="1" applyBorder="1" applyAlignment="1">
      <alignment wrapText="1"/>
    </xf>
    <xf numFmtId="0" fontId="8" fillId="0" borderId="6" xfId="4" applyFont="1" applyBorder="1" applyAlignment="1">
      <alignment horizontal="center"/>
    </xf>
    <xf numFmtId="0" fontId="8" fillId="0" borderId="7" xfId="4" applyFont="1" applyBorder="1" applyAlignment="1">
      <alignment horizontal="center"/>
    </xf>
    <xf numFmtId="41" fontId="8" fillId="0" borderId="11" xfId="1" applyNumberFormat="1" applyFont="1" applyBorder="1" applyAlignment="1">
      <alignment horizontal="center"/>
    </xf>
    <xf numFmtId="41" fontId="8" fillId="0" borderId="12" xfId="1" applyNumberFormat="1" applyFont="1" applyBorder="1" applyAlignment="1">
      <alignment horizontal="center"/>
    </xf>
    <xf numFmtId="0" fontId="31" fillId="0" borderId="6" xfId="0" applyFont="1" applyBorder="1" applyAlignment="1">
      <alignment horizontal="left"/>
    </xf>
    <xf numFmtId="14" fontId="31" fillId="0" borderId="63" xfId="0" quotePrefix="1" applyNumberFormat="1" applyFont="1" applyBorder="1" applyAlignment="1">
      <alignment horizontal="left" wrapText="1"/>
    </xf>
    <xf numFmtId="0" fontId="9" fillId="0" borderId="6" xfId="0" applyFont="1" applyBorder="1" applyAlignment="1"/>
    <xf numFmtId="0" fontId="9" fillId="0" borderId="0" xfId="0" applyFont="1" applyAlignment="1"/>
    <xf numFmtId="0" fontId="9" fillId="0" borderId="12" xfId="0" applyFont="1" applyBorder="1" applyAlignment="1"/>
    <xf numFmtId="0" fontId="45" fillId="0" borderId="0" xfId="0" applyFont="1" applyAlignment="1"/>
    <xf numFmtId="0" fontId="31" fillId="0" borderId="6" xfId="0" applyFont="1" applyBorder="1" applyAlignment="1">
      <alignment horizontal="left" vertical="top"/>
    </xf>
    <xf numFmtId="0" fontId="31" fillId="0" borderId="12" xfId="0" applyFont="1" applyBorder="1" applyAlignment="1">
      <alignment horizontal="left" vertical="top"/>
    </xf>
    <xf numFmtId="0" fontId="34" fillId="0" borderId="17" xfId="0" applyFont="1" applyBorder="1" applyAlignment="1">
      <alignment horizontal="left" vertical="center"/>
    </xf>
    <xf numFmtId="0" fontId="32" fillId="0" borderId="40" xfId="0" applyFont="1" applyBorder="1" applyAlignment="1">
      <alignment horizontal="center"/>
    </xf>
    <xf numFmtId="0" fontId="0" fillId="0" borderId="0" xfId="0" applyFill="1" applyBorder="1" applyAlignment="1">
      <alignment horizontal="center"/>
    </xf>
    <xf numFmtId="0" fontId="8" fillId="0" borderId="6" xfId="0" applyFont="1" applyBorder="1" applyAlignment="1">
      <alignment horizontal="center"/>
    </xf>
    <xf numFmtId="0" fontId="8" fillId="0" borderId="0" xfId="0" applyFont="1" applyAlignment="1">
      <alignment horizontal="center"/>
    </xf>
    <xf numFmtId="0" fontId="8" fillId="0" borderId="12" xfId="0" applyFont="1" applyBorder="1" applyAlignment="1">
      <alignment horizontal="center"/>
    </xf>
    <xf numFmtId="166" fontId="8" fillId="0" borderId="6" xfId="1" applyNumberFormat="1" applyFont="1" applyBorder="1" applyAlignment="1">
      <alignment horizontal="center"/>
    </xf>
    <xf numFmtId="166" fontId="8" fillId="0" borderId="0" xfId="1" applyNumberFormat="1" applyFont="1" applyBorder="1" applyAlignment="1">
      <alignment horizontal="center"/>
    </xf>
    <xf numFmtId="166" fontId="8" fillId="0" borderId="12" xfId="1" applyNumberFormat="1" applyFont="1" applyBorder="1" applyAlignment="1">
      <alignment horizontal="center"/>
    </xf>
    <xf numFmtId="0" fontId="8" fillId="0" borderId="6" xfId="0" applyFont="1" applyBorder="1" applyAlignment="1">
      <alignment horizontal="center" vertical="top" wrapText="1"/>
    </xf>
    <xf numFmtId="0" fontId="8" fillId="0" borderId="0" xfId="0" applyFont="1" applyAlignment="1">
      <alignment horizontal="center" vertical="top" wrapText="1"/>
    </xf>
    <xf numFmtId="0" fontId="8" fillId="0" borderId="12" xfId="0" applyFont="1" applyBorder="1" applyAlignment="1">
      <alignment horizontal="center" vertical="top" wrapText="1"/>
    </xf>
    <xf numFmtId="0" fontId="5" fillId="0" borderId="6" xfId="0" applyFont="1" applyBorder="1" applyAlignment="1">
      <alignment horizontal="center"/>
    </xf>
    <xf numFmtId="0" fontId="5" fillId="0" borderId="0" xfId="0" applyFont="1" applyAlignment="1">
      <alignment horizontal="center"/>
    </xf>
    <xf numFmtId="0" fontId="5" fillId="0" borderId="12" xfId="0" applyFont="1" applyBorder="1" applyAlignment="1">
      <alignment horizontal="center"/>
    </xf>
    <xf numFmtId="0" fontId="8" fillId="0" borderId="13" xfId="0" applyFont="1" applyBorder="1" applyAlignment="1">
      <alignment horizontal="center"/>
    </xf>
    <xf numFmtId="0" fontId="8" fillId="0" borderId="14" xfId="0" applyFont="1" applyBorder="1" applyAlignment="1">
      <alignment horizontal="center"/>
    </xf>
    <xf numFmtId="0" fontId="8" fillId="0" borderId="16" xfId="0" applyFont="1" applyBorder="1" applyAlignment="1">
      <alignment horizontal="center"/>
    </xf>
    <xf numFmtId="0" fontId="8" fillId="0" borderId="6" xfId="0" applyFont="1" applyBorder="1" applyAlignment="1">
      <alignment horizontal="left"/>
    </xf>
    <xf numFmtId="0" fontId="8" fillId="0" borderId="0" xfId="0" applyFont="1" applyAlignment="1">
      <alignment horizontal="left"/>
    </xf>
    <xf numFmtId="0" fontId="8" fillId="0" borderId="12" xfId="0" applyFont="1" applyBorder="1" applyAlignment="1">
      <alignment horizontal="left"/>
    </xf>
    <xf numFmtId="0" fontId="43" fillId="0" borderId="52" xfId="0" applyFont="1" applyBorder="1" applyAlignment="1">
      <alignment horizontal="center" vertical="center"/>
    </xf>
    <xf numFmtId="0" fontId="31" fillId="0" borderId="6" xfId="0" applyFont="1" applyBorder="1" applyAlignment="1">
      <alignment horizontal="left" vertical="center" wrapText="1"/>
    </xf>
    <xf numFmtId="0" fontId="31" fillId="0" borderId="12" xfId="0" applyFont="1" applyBorder="1" applyAlignment="1">
      <alignment horizontal="left" vertical="center" wrapText="1"/>
    </xf>
    <xf numFmtId="14" fontId="31" fillId="0" borderId="63" xfId="0" applyNumberFormat="1" applyFont="1" applyBorder="1" applyAlignment="1">
      <alignment horizontal="left" vertical="top" wrapText="1"/>
    </xf>
    <xf numFmtId="0" fontId="30" fillId="0" borderId="63" xfId="0" applyFont="1" applyBorder="1" applyAlignment="1">
      <alignment horizontal="left" vertical="top" wrapText="1"/>
    </xf>
    <xf numFmtId="0" fontId="5" fillId="0" borderId="6" xfId="0" applyFont="1" applyBorder="1" applyAlignment="1">
      <alignment horizontal="left"/>
    </xf>
    <xf numFmtId="0" fontId="5" fillId="0" borderId="0" xfId="0" applyFont="1" applyAlignment="1">
      <alignment horizontal="left"/>
    </xf>
    <xf numFmtId="0" fontId="5" fillId="0" borderId="12" xfId="0" applyFont="1" applyBorder="1" applyAlignment="1">
      <alignment horizontal="left"/>
    </xf>
    <xf numFmtId="0" fontId="28" fillId="0" borderId="6" xfId="0" applyFont="1" applyBorder="1" applyAlignment="1">
      <alignment vertical="top" wrapText="1"/>
    </xf>
    <xf numFmtId="0" fontId="28" fillId="0" borderId="0" xfId="0" applyFont="1" applyAlignment="1">
      <alignment vertical="top" wrapText="1"/>
    </xf>
    <xf numFmtId="0" fontId="28" fillId="0" borderId="12" xfId="0" applyFont="1" applyBorder="1" applyAlignment="1">
      <alignment vertical="top" wrapText="1"/>
    </xf>
    <xf numFmtId="0" fontId="28" fillId="0" borderId="13" xfId="0" applyFont="1" applyBorder="1" applyAlignment="1">
      <alignment horizontal="left"/>
    </xf>
    <xf numFmtId="0" fontId="28" fillId="0" borderId="14" xfId="0" applyFont="1" applyBorder="1" applyAlignment="1">
      <alignment horizontal="left"/>
    </xf>
    <xf numFmtId="0" fontId="28" fillId="0" borderId="16" xfId="0" applyFont="1" applyBorder="1" applyAlignment="1">
      <alignment horizontal="left"/>
    </xf>
    <xf numFmtId="165" fontId="5" fillId="0" borderId="60" xfId="0" applyNumberFormat="1" applyFont="1" applyBorder="1" applyAlignment="1">
      <alignment horizontal="center" vertical="center"/>
    </xf>
    <xf numFmtId="165" fontId="5" fillId="0" borderId="61" xfId="0" applyNumberFormat="1" applyFont="1" applyBorder="1" applyAlignment="1">
      <alignment horizontal="center" vertical="center"/>
    </xf>
    <xf numFmtId="0" fontId="5" fillId="0" borderId="1" xfId="0" applyFont="1" applyBorder="1" applyAlignment="1">
      <alignment horizontal="center"/>
    </xf>
    <xf numFmtId="0" fontId="5" fillId="0" borderId="5" xfId="0" applyFont="1" applyBorder="1" applyAlignment="1">
      <alignment horizontal="center"/>
    </xf>
    <xf numFmtId="0" fontId="5" fillId="0" borderId="54" xfId="0" applyFont="1" applyBorder="1" applyAlignment="1">
      <alignment horizontal="center"/>
    </xf>
    <xf numFmtId="0" fontId="5" fillId="0" borderId="53" xfId="0" applyFont="1" applyBorder="1" applyAlignment="1">
      <alignment horizontal="center"/>
    </xf>
    <xf numFmtId="166" fontId="5" fillId="0" borderId="1" xfId="1" applyNumberFormat="1" applyFont="1" applyBorder="1" applyAlignment="1">
      <alignment horizontal="center" wrapText="1"/>
    </xf>
    <xf numFmtId="166" fontId="5" fillId="0" borderId="13" xfId="1" applyNumberFormat="1" applyFont="1" applyBorder="1" applyAlignment="1">
      <alignment horizontal="center" wrapText="1"/>
    </xf>
    <xf numFmtId="166" fontId="5" fillId="0" borderId="60" xfId="1" applyNumberFormat="1" applyFont="1" applyBorder="1" applyAlignment="1">
      <alignment horizontal="center" vertical="center"/>
    </xf>
    <xf numFmtId="166" fontId="5" fillId="0" borderId="61" xfId="1" applyNumberFormat="1" applyFont="1" applyBorder="1" applyAlignment="1">
      <alignment horizontal="center" vertical="center"/>
    </xf>
    <xf numFmtId="166" fontId="5" fillId="0" borderId="60" xfId="1" applyNumberFormat="1" applyFont="1" applyBorder="1" applyAlignment="1">
      <alignment horizontal="center" wrapText="1"/>
    </xf>
    <xf numFmtId="166" fontId="5" fillId="0" borderId="61" xfId="1" applyNumberFormat="1" applyFont="1" applyBorder="1" applyAlignment="1">
      <alignment horizontal="center" wrapText="1"/>
    </xf>
    <xf numFmtId="0" fontId="5" fillId="0" borderId="13" xfId="0" applyFont="1" applyBorder="1" applyAlignment="1">
      <alignment horizontal="center"/>
    </xf>
    <xf numFmtId="0" fontId="5" fillId="0" borderId="16" xfId="0" applyFont="1" applyBorder="1" applyAlignment="1">
      <alignment horizontal="center"/>
    </xf>
    <xf numFmtId="166" fontId="3" fillId="0" borderId="0" xfId="1" applyNumberFormat="1" applyFont="1" applyAlignment="1">
      <alignment horizontal="right" vertical="center"/>
    </xf>
    <xf numFmtId="0" fontId="6" fillId="0" borderId="0" xfId="0" applyFont="1" applyAlignment="1">
      <alignment horizontal="center"/>
    </xf>
    <xf numFmtId="0" fontId="5" fillId="0" borderId="0" xfId="0" applyFont="1" applyAlignment="1">
      <alignment horizontal="left" vertical="top"/>
    </xf>
    <xf numFmtId="0" fontId="11" fillId="0" borderId="2" xfId="0" applyFont="1" applyBorder="1" applyAlignment="1">
      <alignment horizontal="left"/>
    </xf>
    <xf numFmtId="0" fontId="11" fillId="0" borderId="5" xfId="0" applyFont="1" applyBorder="1" applyAlignment="1">
      <alignment horizontal="left"/>
    </xf>
    <xf numFmtId="49" fontId="10" fillId="0" borderId="2" xfId="0" quotePrefix="1" applyNumberFormat="1" applyFont="1" applyBorder="1" applyAlignment="1">
      <alignment horizontal="left" vertical="top" wrapText="1"/>
    </xf>
    <xf numFmtId="49" fontId="10" fillId="0" borderId="2" xfId="0" applyNumberFormat="1" applyFont="1" applyBorder="1" applyAlignment="1">
      <alignment horizontal="left" vertical="top" wrapText="1"/>
    </xf>
    <xf numFmtId="49" fontId="10" fillId="0" borderId="5" xfId="0" applyNumberFormat="1" applyFont="1" applyBorder="1" applyAlignment="1">
      <alignment horizontal="left" vertical="top" wrapText="1"/>
    </xf>
    <xf numFmtId="49" fontId="10" fillId="0" borderId="0" xfId="0" applyNumberFormat="1" applyFont="1" applyAlignment="1">
      <alignment horizontal="left" vertical="top" wrapText="1"/>
    </xf>
    <xf numFmtId="49" fontId="10" fillId="0" borderId="12" xfId="0" applyNumberFormat="1" applyFont="1" applyBorder="1" applyAlignment="1">
      <alignment horizontal="left" vertical="top" wrapText="1"/>
    </xf>
    <xf numFmtId="0" fontId="11" fillId="0" borderId="0" xfId="0" applyFont="1" applyAlignment="1">
      <alignment horizontal="left"/>
    </xf>
    <xf numFmtId="0" fontId="11" fillId="0" borderId="12" xfId="0" applyFont="1" applyBorder="1" applyAlignment="1">
      <alignment horizontal="left"/>
    </xf>
    <xf numFmtId="0" fontId="41" fillId="0" borderId="0" xfId="0" applyFont="1" applyAlignment="1">
      <alignment horizontal="right"/>
    </xf>
    <xf numFmtId="0" fontId="12" fillId="0" borderId="0" xfId="0" applyFont="1" applyAlignment="1">
      <alignment horizontal="center"/>
    </xf>
    <xf numFmtId="0" fontId="2" fillId="0" borderId="4" xfId="0" applyFont="1" applyBorder="1" applyAlignment="1">
      <alignment horizontal="left"/>
    </xf>
    <xf numFmtId="0" fontId="2" fillId="0" borderId="2" xfId="0" applyFont="1" applyBorder="1" applyAlignment="1">
      <alignment horizontal="left"/>
    </xf>
    <xf numFmtId="0" fontId="2" fillId="0" borderId="5" xfId="0" applyFont="1" applyBorder="1" applyAlignment="1">
      <alignment horizontal="left"/>
    </xf>
    <xf numFmtId="0" fontId="3" fillId="0" borderId="0" xfId="0" applyFont="1" applyAlignment="1">
      <alignment horizontal="right" vertical="center"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xf>
    <xf numFmtId="0" fontId="4" fillId="0" borderId="5" xfId="0" applyFont="1" applyBorder="1" applyAlignment="1">
      <alignment horizontal="left" vertical="center" wrapText="1"/>
    </xf>
    <xf numFmtId="0" fontId="5" fillId="0" borderId="6" xfId="0" applyFont="1" applyBorder="1" applyAlignment="1">
      <alignment horizontal="center" wrapText="1"/>
    </xf>
    <xf numFmtId="0" fontId="5" fillId="0" borderId="0" xfId="0" applyFont="1" applyAlignment="1">
      <alignment horizontal="center" wrapText="1"/>
    </xf>
    <xf numFmtId="0" fontId="5" fillId="0" borderId="7"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6" fillId="0" borderId="6" xfId="0" applyFont="1" applyBorder="1" applyAlignment="1">
      <alignment horizontal="center" vertical="center" wrapText="1"/>
    </xf>
    <xf numFmtId="0" fontId="7" fillId="0" borderId="0" xfId="0" applyFont="1" applyAlignment="1">
      <alignment vertical="center"/>
    </xf>
    <xf numFmtId="0" fontId="7" fillId="0" borderId="7" xfId="0" applyFont="1" applyBorder="1" applyAlignment="1">
      <alignment vertical="center"/>
    </xf>
    <xf numFmtId="0" fontId="7" fillId="0" borderId="13" xfId="0" applyFont="1" applyBorder="1" applyAlignment="1">
      <alignment vertical="center"/>
    </xf>
    <xf numFmtId="0" fontId="7" fillId="0" borderId="14" xfId="0" applyFont="1" applyBorder="1" applyAlignment="1">
      <alignment vertical="center"/>
    </xf>
    <xf numFmtId="0" fontId="7" fillId="0" borderId="15" xfId="0" applyFont="1" applyBorder="1" applyAlignment="1">
      <alignment vertical="center"/>
    </xf>
    <xf numFmtId="0" fontId="4" fillId="0" borderId="11" xfId="0" applyFont="1" applyBorder="1" applyAlignment="1">
      <alignment wrapText="1"/>
    </xf>
    <xf numFmtId="0" fontId="4" fillId="0" borderId="0" xfId="0" applyFont="1" applyAlignment="1">
      <alignment wrapText="1"/>
    </xf>
    <xf numFmtId="0" fontId="4" fillId="0" borderId="12" xfId="0" applyFont="1" applyBorder="1" applyAlignment="1">
      <alignment wrapText="1"/>
    </xf>
    <xf numFmtId="0" fontId="4" fillId="0" borderId="11" xfId="0" applyFont="1" applyBorder="1" applyAlignment="1">
      <alignment horizontal="left" wrapText="1"/>
    </xf>
    <xf numFmtId="0" fontId="4" fillId="0" borderId="0" xfId="0" applyFont="1" applyAlignment="1">
      <alignment horizontal="left" wrapText="1"/>
    </xf>
    <xf numFmtId="0" fontId="4" fillId="0" borderId="12" xfId="0" applyFont="1" applyBorder="1" applyAlignment="1">
      <alignment horizontal="left" wrapText="1"/>
    </xf>
    <xf numFmtId="0" fontId="4" fillId="0" borderId="14" xfId="0" applyFont="1" applyBorder="1" applyAlignment="1">
      <alignment horizontal="left" vertical="justify" wrapText="1"/>
    </xf>
    <xf numFmtId="0" fontId="4" fillId="0" borderId="16" xfId="0" applyFont="1" applyBorder="1" applyAlignment="1">
      <alignment horizontal="left" vertical="justify"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6" xfId="0" applyFont="1" applyBorder="1" applyAlignment="1">
      <alignment vertical="center" wrapText="1"/>
    </xf>
    <xf numFmtId="0" fontId="4" fillId="0" borderId="0" xfId="0" applyFont="1" applyAlignment="1">
      <alignment vertical="center" wrapText="1"/>
    </xf>
    <xf numFmtId="0" fontId="4" fillId="0" borderId="7"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2" fillId="0" borderId="4" xfId="0" applyFont="1" applyBorder="1" applyAlignment="1">
      <alignment horizontal="center" wrapText="1"/>
    </xf>
    <xf numFmtId="0" fontId="2" fillId="0" borderId="2" xfId="0" applyFont="1" applyBorder="1" applyAlignment="1">
      <alignment wrapText="1"/>
    </xf>
    <xf numFmtId="0" fontId="2" fillId="0" borderId="5" xfId="0" applyFont="1" applyBorder="1" applyAlignment="1">
      <alignment wrapText="1"/>
    </xf>
    <xf numFmtId="0" fontId="2" fillId="0" borderId="14" xfId="0" applyFont="1" applyBorder="1" applyAlignment="1">
      <alignment wrapText="1"/>
    </xf>
    <xf numFmtId="49" fontId="4" fillId="0" borderId="8"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9" xfId="0" applyNumberFormat="1" applyFont="1" applyBorder="1" applyAlignment="1">
      <alignment horizontal="center" vertical="center" wrapText="1"/>
    </xf>
    <xf numFmtId="0" fontId="2" fillId="0" borderId="11" xfId="0" applyFont="1" applyBorder="1" applyAlignment="1">
      <alignment wrapText="1"/>
    </xf>
    <xf numFmtId="0" fontId="2" fillId="0" borderId="0" xfId="0" applyFont="1" applyAlignment="1">
      <alignment wrapText="1"/>
    </xf>
    <xf numFmtId="0" fontId="2" fillId="0" borderId="12" xfId="0" applyFont="1" applyBorder="1" applyAlignment="1">
      <alignment wrapText="1"/>
    </xf>
    <xf numFmtId="49" fontId="2" fillId="0" borderId="28" xfId="0" applyNumberFormat="1" applyFont="1" applyBorder="1" applyAlignment="1">
      <alignment horizontal="center" vertical="center" wrapText="1"/>
    </xf>
    <xf numFmtId="49" fontId="2" fillId="0" borderId="26" xfId="0" applyNumberFormat="1" applyFont="1" applyBorder="1" applyAlignment="1">
      <alignment horizontal="center" vertical="center" wrapText="1"/>
    </xf>
    <xf numFmtId="49" fontId="2" fillId="0" borderId="27" xfId="0" applyNumberFormat="1" applyFont="1" applyBorder="1" applyAlignment="1">
      <alignment horizontal="center" vertical="center" wrapText="1"/>
    </xf>
    <xf numFmtId="49" fontId="2" fillId="0" borderId="29" xfId="0" applyNumberFormat="1" applyFont="1" applyBorder="1" applyAlignment="1">
      <alignment horizontal="center" vertical="center" wrapText="1"/>
    </xf>
    <xf numFmtId="0" fontId="4" fillId="0" borderId="6" xfId="0" applyFont="1" applyBorder="1" applyAlignment="1">
      <alignment horizontal="center" wrapText="1"/>
    </xf>
    <xf numFmtId="0" fontId="12" fillId="0" borderId="7" xfId="0" applyFont="1" applyBorder="1" applyAlignment="1">
      <alignment horizontal="center"/>
    </xf>
    <xf numFmtId="43" fontId="9" fillId="0" borderId="30" xfId="0" applyNumberFormat="1" applyFont="1" applyBorder="1" applyAlignment="1">
      <alignment horizontal="left" wrapText="1"/>
    </xf>
    <xf numFmtId="43" fontId="9" fillId="0" borderId="31" xfId="0" applyNumberFormat="1" applyFont="1" applyBorder="1" applyAlignment="1">
      <alignment horizontal="left" wrapText="1"/>
    </xf>
    <xf numFmtId="4" fontId="9" fillId="0" borderId="31" xfId="0" applyNumberFormat="1" applyFont="1" applyBorder="1" applyAlignment="1">
      <alignment horizontal="center" wrapText="1"/>
    </xf>
    <xf numFmtId="0" fontId="9" fillId="0" borderId="31" xfId="0" applyFont="1" applyBorder="1" applyAlignment="1">
      <alignment horizontal="center" wrapText="1"/>
    </xf>
    <xf numFmtId="0" fontId="9" fillId="0" borderId="32" xfId="0" applyFont="1" applyBorder="1" applyAlignment="1">
      <alignment horizontal="center" wrapText="1"/>
    </xf>
    <xf numFmtId="0" fontId="9" fillId="0" borderId="20" xfId="0" applyFont="1" applyBorder="1" applyAlignment="1">
      <alignment horizontal="left" wrapText="1"/>
    </xf>
    <xf numFmtId="0" fontId="9" fillId="0" borderId="21" xfId="0" applyFont="1" applyBorder="1" applyAlignment="1">
      <alignment horizontal="left" wrapText="1"/>
    </xf>
    <xf numFmtId="0" fontId="9" fillId="0" borderId="22" xfId="0" applyFont="1" applyBorder="1" applyAlignment="1">
      <alignment horizontal="left" wrapText="1"/>
    </xf>
    <xf numFmtId="0" fontId="9" fillId="0" borderId="11" xfId="0" applyFont="1" applyBorder="1" applyAlignment="1">
      <alignment horizontal="left" wrapText="1"/>
    </xf>
    <xf numFmtId="0" fontId="9" fillId="0" borderId="0" xfId="0" applyFont="1" applyAlignment="1">
      <alignment horizontal="left" wrapText="1"/>
    </xf>
    <xf numFmtId="0" fontId="4" fillId="0" borderId="20" xfId="0" applyFont="1" applyBorder="1" applyAlignment="1">
      <alignment horizontal="left" vertical="center"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2" fillId="0" borderId="23" xfId="0" applyFont="1" applyBorder="1" applyAlignment="1">
      <alignment horizontal="left" vertical="center" wrapText="1"/>
    </xf>
    <xf numFmtId="0" fontId="2" fillId="0" borderId="21" xfId="0" applyFont="1" applyBorder="1" applyAlignment="1">
      <alignment horizontal="left" vertical="center" wrapText="1"/>
    </xf>
    <xf numFmtId="0" fontId="2" fillId="0" borderId="24" xfId="0" applyFont="1" applyBorder="1" applyAlignment="1">
      <alignment horizontal="left" vertical="center" wrapText="1"/>
    </xf>
    <xf numFmtId="0" fontId="2" fillId="0" borderId="18" xfId="0" applyFont="1" applyBorder="1" applyAlignment="1">
      <alignment horizontal="left" vertical="center" wrapText="1"/>
    </xf>
    <xf numFmtId="0" fontId="2" fillId="0" borderId="14" xfId="0" applyFont="1" applyBorder="1" applyAlignment="1">
      <alignment horizontal="left" vertical="center" wrapText="1"/>
    </xf>
    <xf numFmtId="0" fontId="2" fillId="0" borderId="16" xfId="0" applyFont="1" applyBorder="1" applyAlignment="1">
      <alignment horizontal="left" vertical="center" wrapText="1"/>
    </xf>
    <xf numFmtId="49" fontId="2" fillId="0" borderId="25" xfId="0" applyNumberFormat="1" applyFont="1" applyBorder="1" applyAlignment="1">
      <alignment horizontal="center" vertical="center" wrapText="1"/>
    </xf>
    <xf numFmtId="49" fontId="2" fillId="0" borderId="26" xfId="0" applyNumberFormat="1" applyFont="1" applyBorder="1" applyAlignment="1">
      <alignment horizontal="center"/>
    </xf>
    <xf numFmtId="49" fontId="2" fillId="0" borderId="27" xfId="0" applyNumberFormat="1" applyFont="1" applyBorder="1" applyAlignment="1">
      <alignment horizontal="center"/>
    </xf>
    <xf numFmtId="0" fontId="9" fillId="0" borderId="4" xfId="0" applyFont="1" applyBorder="1" applyAlignment="1">
      <alignment vertical="center" wrapText="1"/>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11"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2" fillId="0" borderId="4" xfId="0" applyFont="1" applyBorder="1" applyAlignment="1">
      <alignment wrapText="1"/>
    </xf>
    <xf numFmtId="0" fontId="2" fillId="0" borderId="3" xfId="0" applyFont="1" applyBorder="1" applyAlignment="1">
      <alignment wrapText="1"/>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2" xfId="0" applyFont="1" applyBorder="1" applyAlignment="1">
      <alignment horizontal="left" vertical="center"/>
    </xf>
    <xf numFmtId="0" fontId="10" fillId="0" borderId="6" xfId="0" applyFont="1" applyBorder="1" applyAlignment="1">
      <alignment horizontal="left" vertical="top" wrapText="1"/>
    </xf>
    <xf numFmtId="0" fontId="10" fillId="0" borderId="0" xfId="0" applyFont="1" applyAlignment="1">
      <alignment horizontal="left" vertical="top" wrapText="1"/>
    </xf>
    <xf numFmtId="0" fontId="10" fillId="0" borderId="7" xfId="0" applyFont="1" applyBorder="1" applyAlignment="1">
      <alignment horizontal="left" vertical="top" wrapText="1"/>
    </xf>
    <xf numFmtId="4" fontId="10" fillId="0" borderId="0" xfId="0" applyNumberFormat="1" applyFont="1" applyAlignment="1">
      <alignment horizontal="center" wrapText="1"/>
    </xf>
    <xf numFmtId="0" fontId="10" fillId="0" borderId="0" xfId="0" applyFont="1" applyAlignment="1">
      <alignment horizontal="center" wrapText="1"/>
    </xf>
    <xf numFmtId="0" fontId="10" fillId="0" borderId="12" xfId="0" applyFont="1" applyBorder="1" applyAlignment="1">
      <alignment horizontal="center" wrapText="1"/>
    </xf>
    <xf numFmtId="0" fontId="13" fillId="0" borderId="6" xfId="0" applyFont="1" applyBorder="1" applyAlignment="1">
      <alignment horizontal="center" wrapText="1"/>
    </xf>
    <xf numFmtId="0" fontId="13" fillId="0" borderId="0" xfId="0" applyFont="1" applyAlignment="1">
      <alignment horizontal="center" wrapText="1"/>
    </xf>
    <xf numFmtId="0" fontId="13" fillId="0" borderId="12" xfId="0" applyFont="1" applyBorder="1" applyAlignment="1">
      <alignment horizontal="center" wrapText="1"/>
    </xf>
    <xf numFmtId="0" fontId="2" fillId="0" borderId="6" xfId="0" applyFont="1" applyBorder="1" applyAlignment="1">
      <alignment horizontal="center"/>
    </xf>
    <xf numFmtId="0" fontId="2" fillId="0" borderId="0" xfId="0" applyFont="1" applyAlignment="1">
      <alignment horizontal="center"/>
    </xf>
    <xf numFmtId="0" fontId="2" fillId="0" borderId="12" xfId="0" applyFont="1" applyBorder="1" applyAlignment="1">
      <alignment horizontal="center"/>
    </xf>
    <xf numFmtId="43" fontId="10" fillId="0" borderId="11" xfId="1" applyFont="1" applyBorder="1" applyAlignment="1">
      <alignment horizontal="center" wrapText="1"/>
    </xf>
    <xf numFmtId="43" fontId="10" fillId="0" borderId="0" xfId="1" applyFont="1" applyBorder="1" applyAlignment="1">
      <alignment horizontal="center" wrapText="1"/>
    </xf>
    <xf numFmtId="43" fontId="10" fillId="0" borderId="12" xfId="1" applyFont="1" applyBorder="1" applyAlignment="1">
      <alignment horizontal="center" wrapText="1"/>
    </xf>
    <xf numFmtId="0" fontId="2" fillId="0" borderId="3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7" xfId="0" applyFont="1" applyBorder="1" applyAlignment="1">
      <alignment horizontal="center" wrapText="1"/>
    </xf>
    <xf numFmtId="0" fontId="2" fillId="0" borderId="17" xfId="0" applyFont="1" applyBorder="1" applyAlignment="1">
      <alignment horizontal="center"/>
    </xf>
    <xf numFmtId="0" fontId="2" fillId="0" borderId="36" xfId="0" applyFont="1" applyBorder="1" applyAlignment="1">
      <alignment horizontal="center"/>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2" xfId="0" applyFont="1" applyBorder="1" applyAlignment="1">
      <alignment horizontal="left" vertical="center" wrapText="1"/>
    </xf>
    <xf numFmtId="0" fontId="10" fillId="0" borderId="23"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43" fontId="10" fillId="0" borderId="23" xfId="1" applyFont="1" applyBorder="1" applyAlignment="1">
      <alignment horizontal="center" wrapText="1"/>
    </xf>
    <xf numFmtId="43" fontId="10" fillId="0" borderId="21" xfId="1" applyFont="1" applyBorder="1" applyAlignment="1">
      <alignment horizontal="center" wrapText="1"/>
    </xf>
    <xf numFmtId="43" fontId="10" fillId="0" borderId="22" xfId="1" applyFont="1" applyBorder="1" applyAlignment="1">
      <alignment horizontal="center" wrapText="1"/>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7" xfId="0" applyFont="1" applyBorder="1" applyAlignment="1">
      <alignment horizontal="left" vertical="center" wrapText="1"/>
    </xf>
    <xf numFmtId="0" fontId="10" fillId="0" borderId="11" xfId="0" applyFont="1" applyBorder="1" applyAlignment="1">
      <alignment horizontal="center" vertical="center" wrapText="1"/>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10" fillId="0" borderId="18"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4" fontId="10" fillId="0" borderId="18" xfId="0" applyNumberFormat="1" applyFont="1" applyBorder="1" applyAlignment="1">
      <alignment horizontal="center" wrapText="1"/>
    </xf>
    <xf numFmtId="4" fontId="10" fillId="0" borderId="14" xfId="0" applyNumberFormat="1" applyFont="1" applyBorder="1" applyAlignment="1">
      <alignment horizontal="center" wrapText="1"/>
    </xf>
    <xf numFmtId="4" fontId="10" fillId="0" borderId="16" xfId="0" applyNumberFormat="1" applyFont="1" applyBorder="1" applyAlignment="1">
      <alignment horizontal="center" wrapText="1"/>
    </xf>
    <xf numFmtId="0" fontId="4" fillId="0" borderId="26" xfId="0" applyFont="1" applyBorder="1" applyAlignment="1">
      <alignment vertical="justify" wrapText="1"/>
    </xf>
    <xf numFmtId="0" fontId="10" fillId="0" borderId="20"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2" fillId="0" borderId="6" xfId="0" applyFont="1" applyBorder="1" applyAlignment="1">
      <alignment wrapText="1"/>
    </xf>
    <xf numFmtId="0" fontId="2" fillId="0" borderId="6" xfId="0" applyFont="1" applyBorder="1" applyAlignment="1">
      <alignment horizontal="center" vertical="center" wrapText="1"/>
    </xf>
    <xf numFmtId="0" fontId="2" fillId="0" borderId="0" xfId="0" applyFont="1" applyAlignment="1">
      <alignment vertical="center" wrapText="1"/>
    </xf>
    <xf numFmtId="0" fontId="2" fillId="0" borderId="38" xfId="0" applyFont="1" applyBorder="1" applyAlignment="1">
      <alignment vertical="center" wrapText="1"/>
    </xf>
    <xf numFmtId="0" fontId="2" fillId="0" borderId="9" xfId="0" applyFont="1" applyBorder="1" applyAlignment="1">
      <alignment vertical="center" wrapText="1"/>
    </xf>
    <xf numFmtId="0" fontId="2" fillId="0" borderId="8" xfId="0" applyFont="1" applyBorder="1" applyAlignment="1">
      <alignment wrapText="1"/>
    </xf>
    <xf numFmtId="0" fontId="2" fillId="0" borderId="9" xfId="0" applyFont="1" applyBorder="1" applyAlignment="1">
      <alignment wrapText="1"/>
    </xf>
    <xf numFmtId="0" fontId="2" fillId="0" borderId="10" xfId="0" applyFont="1" applyBorder="1" applyAlignment="1">
      <alignment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vertical="center" wrapText="1"/>
    </xf>
    <xf numFmtId="0" fontId="2" fillId="0" borderId="22" xfId="0" applyFont="1" applyBorder="1" applyAlignment="1">
      <alignment vertical="center" wrapText="1"/>
    </xf>
    <xf numFmtId="0" fontId="2" fillId="0" borderId="19" xfId="0" applyFont="1" applyBorder="1" applyAlignment="1">
      <alignment vertical="center" wrapText="1"/>
    </xf>
    <xf numFmtId="0" fontId="9" fillId="0" borderId="23" xfId="0" applyFont="1" applyBorder="1" applyAlignment="1">
      <alignment horizontal="center" wrapText="1"/>
    </xf>
    <xf numFmtId="0" fontId="9" fillId="0" borderId="21" xfId="0" applyFont="1" applyBorder="1" applyAlignment="1">
      <alignment horizontal="center" wrapText="1"/>
    </xf>
    <xf numFmtId="0" fontId="9" fillId="0" borderId="24" xfId="0" applyFont="1" applyBorder="1" applyAlignment="1">
      <alignment horizontal="center" wrapText="1"/>
    </xf>
    <xf numFmtId="0" fontId="9" fillId="0" borderId="8" xfId="0" applyFont="1" applyBorder="1" applyAlignment="1">
      <alignment horizontal="center" wrapText="1"/>
    </xf>
    <xf numFmtId="0" fontId="9" fillId="0" borderId="9" xfId="0" applyFont="1" applyBorder="1" applyAlignment="1">
      <alignment horizontal="center" wrapText="1"/>
    </xf>
    <xf numFmtId="0" fontId="9" fillId="0" borderId="10" xfId="0" applyFont="1" applyBorder="1" applyAlignment="1">
      <alignment horizontal="center" wrapText="1"/>
    </xf>
    <xf numFmtId="0" fontId="2" fillId="0" borderId="22" xfId="0" applyFont="1" applyBorder="1" applyAlignment="1">
      <alignment horizontal="center" vertical="center" wrapText="1"/>
    </xf>
    <xf numFmtId="0" fontId="9" fillId="0" borderId="23" xfId="0" applyFont="1" applyBorder="1" applyAlignment="1">
      <alignment horizontal="center"/>
    </xf>
    <xf numFmtId="0" fontId="9" fillId="0" borderId="21" xfId="0" applyFont="1" applyBorder="1" applyAlignment="1">
      <alignment horizontal="center"/>
    </xf>
    <xf numFmtId="0" fontId="9" fillId="0" borderId="24"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9" fillId="0" borderId="10" xfId="0" applyFont="1" applyBorder="1" applyAlignment="1">
      <alignment horizontal="center"/>
    </xf>
    <xf numFmtId="0" fontId="2" fillId="0" borderId="7" xfId="0" applyFont="1" applyBorder="1" applyAlignment="1">
      <alignment wrapText="1"/>
    </xf>
    <xf numFmtId="0" fontId="2" fillId="0" borderId="19" xfId="0" applyFont="1" applyBorder="1" applyAlignment="1">
      <alignment wrapText="1"/>
    </xf>
    <xf numFmtId="0" fontId="2" fillId="0" borderId="11" xfId="0" applyFont="1" applyBorder="1" applyAlignment="1">
      <alignment vertical="justify" wrapText="1"/>
    </xf>
    <xf numFmtId="0" fontId="2" fillId="0" borderId="0" xfId="0" applyFont="1" applyAlignment="1">
      <alignment vertical="justify" wrapText="1"/>
    </xf>
    <xf numFmtId="0" fontId="2" fillId="0" borderId="7" xfId="0" applyFont="1" applyBorder="1" applyAlignment="1">
      <alignment vertical="justify" wrapText="1"/>
    </xf>
    <xf numFmtId="0" fontId="2" fillId="0" borderId="8" xfId="0" applyFont="1" applyBorder="1" applyAlignment="1">
      <alignment vertical="justify" wrapText="1"/>
    </xf>
    <xf numFmtId="0" fontId="2" fillId="0" borderId="9" xfId="0" applyFont="1" applyBorder="1" applyAlignment="1">
      <alignment vertical="justify" wrapText="1"/>
    </xf>
    <xf numFmtId="0" fontId="2" fillId="0" borderId="19" xfId="0" applyFont="1" applyBorder="1" applyAlignment="1">
      <alignment vertical="justify" wrapText="1"/>
    </xf>
    <xf numFmtId="0" fontId="2" fillId="0" borderId="11" xfId="0" applyFont="1" applyBorder="1" applyAlignment="1">
      <alignment horizontal="left" vertical="justify" wrapText="1"/>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39" xfId="0" applyFont="1" applyBorder="1" applyAlignment="1">
      <alignment horizontal="center" vertical="center"/>
    </xf>
    <xf numFmtId="0" fontId="2" fillId="0" borderId="40" xfId="0" applyFont="1" applyBorder="1" applyAlignment="1">
      <alignment horizontal="center" vertical="center"/>
    </xf>
    <xf numFmtId="0" fontId="2" fillId="0" borderId="41" xfId="0" applyFont="1" applyBorder="1" applyAlignment="1">
      <alignment horizontal="center" vertical="center"/>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18" xfId="0" applyFont="1" applyBorder="1" applyAlignment="1">
      <alignment wrapText="1"/>
    </xf>
    <xf numFmtId="0" fontId="2" fillId="0" borderId="16" xfId="0" applyFont="1" applyBorder="1" applyAlignment="1">
      <alignment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1" xfId="0" applyFont="1" applyBorder="1" applyAlignment="1">
      <alignment wrapText="1"/>
    </xf>
    <xf numFmtId="0" fontId="2" fillId="0" borderId="22" xfId="0" applyFont="1" applyBorder="1" applyAlignment="1">
      <alignment wrapText="1"/>
    </xf>
    <xf numFmtId="0" fontId="2" fillId="0" borderId="38" xfId="0" applyFont="1" applyBorder="1" applyAlignment="1">
      <alignment wrapText="1"/>
    </xf>
    <xf numFmtId="0" fontId="2" fillId="0" borderId="23" xfId="0" applyFont="1" applyBorder="1" applyAlignment="1">
      <alignment wrapText="1"/>
    </xf>
    <xf numFmtId="0" fontId="2" fillId="0" borderId="23" xfId="0" applyFont="1" applyBorder="1" applyAlignment="1">
      <alignment vertical="center" wrapText="1"/>
    </xf>
    <xf numFmtId="0" fontId="2" fillId="0" borderId="8" xfId="0" applyFont="1" applyBorder="1" applyAlignment="1">
      <alignment vertical="center" wrapText="1"/>
    </xf>
    <xf numFmtId="0" fontId="2" fillId="0" borderId="23" xfId="0" applyFont="1" applyBorder="1" applyAlignment="1">
      <alignment horizontal="left" vertical="justify" wrapText="1"/>
    </xf>
    <xf numFmtId="0" fontId="2" fillId="0" borderId="21" xfId="0" applyFont="1" applyBorder="1" applyAlignment="1">
      <alignment horizontal="left" vertical="justify" wrapText="1"/>
    </xf>
    <xf numFmtId="0" fontId="2" fillId="0" borderId="22" xfId="0" applyFont="1" applyBorder="1" applyAlignment="1">
      <alignment horizontal="left" vertical="justify" wrapText="1"/>
    </xf>
    <xf numFmtId="0" fontId="2" fillId="0" borderId="24" xfId="0" applyFont="1" applyBorder="1" applyAlignment="1">
      <alignment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17" fillId="0" borderId="19" xfId="0" applyFont="1" applyBorder="1" applyAlignment="1">
      <alignment horizontal="left" wrapText="1"/>
    </xf>
    <xf numFmtId="0" fontId="2" fillId="0" borderId="42" xfId="0" applyFont="1" applyBorder="1" applyAlignment="1">
      <alignment vertical="justify" wrapText="1"/>
    </xf>
    <xf numFmtId="0" fontId="2" fillId="0" borderId="43" xfId="0" applyFont="1" applyBorder="1" applyAlignment="1">
      <alignment vertical="justify" wrapText="1"/>
    </xf>
    <xf numFmtId="0" fontId="2" fillId="0" borderId="44" xfId="0" applyFont="1" applyBorder="1" applyAlignment="1">
      <alignment vertical="justify" wrapText="1"/>
    </xf>
    <xf numFmtId="0" fontId="8" fillId="0" borderId="6" xfId="4" applyFont="1" applyBorder="1" applyAlignment="1">
      <alignment horizontal="center" wrapText="1"/>
    </xf>
    <xf numFmtId="0" fontId="8" fillId="0" borderId="0" xfId="4" applyFont="1" applyAlignment="1">
      <alignment horizontal="center" wrapText="1"/>
    </xf>
    <xf numFmtId="0" fontId="8" fillId="0" borderId="12" xfId="4" applyFont="1" applyBorder="1" applyAlignment="1">
      <alignment horizontal="center" wrapText="1"/>
    </xf>
    <xf numFmtId="0" fontId="8" fillId="0" borderId="6" xfId="4" applyFont="1" applyBorder="1" applyAlignment="1">
      <alignment horizontal="left" wrapText="1"/>
    </xf>
    <xf numFmtId="0" fontId="8" fillId="0" borderId="0" xfId="4" applyFont="1" applyAlignment="1">
      <alignment horizontal="left" wrapText="1"/>
    </xf>
    <xf numFmtId="0" fontId="8" fillId="0" borderId="12" xfId="4" applyFont="1" applyBorder="1" applyAlignment="1">
      <alignment horizontal="left" wrapText="1"/>
    </xf>
    <xf numFmtId="0" fontId="3" fillId="0" borderId="0" xfId="4" applyFont="1" applyAlignment="1">
      <alignment horizontal="right" vertical="center"/>
    </xf>
    <xf numFmtId="0" fontId="6" fillId="0" borderId="1" xfId="4" applyFont="1" applyBorder="1" applyAlignment="1">
      <alignment horizontal="center" vertical="center" wrapText="1"/>
    </xf>
    <xf numFmtId="0" fontId="6" fillId="0" borderId="2" xfId="4" applyFont="1" applyBorder="1" applyAlignment="1">
      <alignment horizontal="center" vertical="center" wrapText="1"/>
    </xf>
    <xf numFmtId="0" fontId="6" fillId="0" borderId="5" xfId="4" applyFont="1" applyBorder="1" applyAlignment="1">
      <alignment horizontal="center" vertical="center" wrapText="1"/>
    </xf>
    <xf numFmtId="0" fontId="8" fillId="0" borderId="1" xfId="4" applyFont="1" applyBorder="1" applyAlignment="1">
      <alignment horizontal="left" wrapText="1"/>
    </xf>
    <xf numFmtId="0" fontId="8" fillId="0" borderId="2" xfId="4" applyFont="1" applyBorder="1" applyAlignment="1">
      <alignment horizontal="left" wrapText="1"/>
    </xf>
    <xf numFmtId="0" fontId="8" fillId="0" borderId="5" xfId="4" applyFont="1" applyBorder="1" applyAlignment="1">
      <alignment horizontal="left" wrapText="1"/>
    </xf>
    <xf numFmtId="0" fontId="6" fillId="0" borderId="6" xfId="4" applyFont="1" applyBorder="1" applyAlignment="1">
      <alignment horizontal="center" vertical="center" wrapText="1"/>
    </xf>
    <xf numFmtId="0" fontId="6" fillId="0" borderId="0" xfId="4" applyFont="1" applyAlignment="1">
      <alignment horizontal="center" vertical="center" wrapText="1"/>
    </xf>
    <xf numFmtId="0" fontId="6" fillId="0" borderId="12" xfId="4" applyFont="1" applyBorder="1" applyAlignment="1">
      <alignment horizontal="center" vertical="center" wrapText="1"/>
    </xf>
    <xf numFmtId="0" fontId="8" fillId="0" borderId="13" xfId="4" applyFont="1" applyBorder="1" applyAlignment="1">
      <alignment horizontal="center" vertical="top" wrapText="1"/>
    </xf>
    <xf numFmtId="0" fontId="8" fillId="0" borderId="14" xfId="4" applyFont="1" applyBorder="1" applyAlignment="1">
      <alignment horizontal="center" vertical="top" wrapText="1"/>
    </xf>
    <xf numFmtId="0" fontId="8" fillId="0" borderId="16" xfId="4" applyFont="1" applyBorder="1" applyAlignment="1">
      <alignment horizontal="center" vertical="top" wrapText="1"/>
    </xf>
    <xf numFmtId="0" fontId="8" fillId="0" borderId="13" xfId="4" applyFont="1" applyBorder="1" applyAlignment="1">
      <alignment horizontal="left" vertical="center" wrapText="1"/>
    </xf>
    <xf numFmtId="0" fontId="8" fillId="0" borderId="14" xfId="4" applyFont="1" applyBorder="1" applyAlignment="1">
      <alignment horizontal="left" vertical="center" wrapText="1"/>
    </xf>
    <xf numFmtId="0" fontId="8" fillId="0" borderId="16" xfId="4" applyFont="1" applyBorder="1" applyAlignment="1">
      <alignment horizontal="left" vertical="center" wrapText="1"/>
    </xf>
    <xf numFmtId="0" fontId="8" fillId="0" borderId="1" xfId="4" applyFont="1" applyBorder="1" applyAlignment="1">
      <alignment horizontal="center" vertical="center" wrapText="1"/>
    </xf>
    <xf numFmtId="0" fontId="8" fillId="0" borderId="2" xfId="4" applyFont="1" applyBorder="1" applyAlignment="1">
      <alignment horizontal="center" vertical="center" wrapText="1"/>
    </xf>
    <xf numFmtId="0" fontId="8" fillId="0" borderId="3" xfId="4" applyFont="1" applyBorder="1" applyAlignment="1">
      <alignment horizontal="center" vertical="center" wrapText="1"/>
    </xf>
    <xf numFmtId="0" fontId="8" fillId="0" borderId="38" xfId="4" applyFont="1" applyBorder="1" applyAlignment="1">
      <alignment horizontal="center" vertical="center" wrapText="1"/>
    </xf>
    <xf numFmtId="0" fontId="8" fillId="0" borderId="9" xfId="4" applyFont="1" applyBorder="1" applyAlignment="1">
      <alignment horizontal="center" vertical="center" wrapText="1"/>
    </xf>
    <xf numFmtId="0" fontId="8" fillId="0" borderId="19" xfId="4" applyFont="1" applyBorder="1" applyAlignment="1">
      <alignment horizontal="center" vertical="center" wrapText="1"/>
    </xf>
    <xf numFmtId="0" fontId="20" fillId="0" borderId="4" xfId="4" applyFont="1" applyBorder="1" applyAlignment="1">
      <alignment horizontal="left" vertical="center" wrapText="1"/>
    </xf>
    <xf numFmtId="0" fontId="20" fillId="0" borderId="2" xfId="4" applyFont="1" applyBorder="1" applyAlignment="1">
      <alignment horizontal="left" vertical="center" wrapText="1"/>
    </xf>
    <xf numFmtId="0" fontId="20" fillId="0" borderId="5" xfId="4" applyFont="1" applyBorder="1" applyAlignment="1">
      <alignment horizontal="left" vertical="center" wrapText="1"/>
    </xf>
    <xf numFmtId="0" fontId="20" fillId="0" borderId="8" xfId="4" applyFont="1" applyBorder="1" applyAlignment="1">
      <alignment horizontal="left" vertical="center" wrapText="1"/>
    </xf>
    <xf numFmtId="0" fontId="20" fillId="0" borderId="9" xfId="4" applyFont="1" applyBorder="1" applyAlignment="1">
      <alignment horizontal="left" vertical="center" wrapText="1"/>
    </xf>
    <xf numFmtId="0" fontId="20" fillId="0" borderId="10" xfId="4" applyFont="1" applyBorder="1" applyAlignment="1">
      <alignment horizontal="left" vertical="center" wrapText="1"/>
    </xf>
    <xf numFmtId="0" fontId="8" fillId="0" borderId="20" xfId="4" applyFont="1" applyBorder="1" applyAlignment="1">
      <alignment horizontal="center" vertical="center" wrapText="1"/>
    </xf>
    <xf numFmtId="0" fontId="8" fillId="0" borderId="21" xfId="4" applyFont="1" applyBorder="1" applyAlignment="1">
      <alignment horizontal="center" vertical="center" wrapText="1"/>
    </xf>
    <xf numFmtId="0" fontId="8" fillId="0" borderId="22" xfId="4" applyFont="1" applyBorder="1" applyAlignment="1">
      <alignment horizontal="center" vertical="center" wrapText="1"/>
    </xf>
    <xf numFmtId="0" fontId="46" fillId="0" borderId="23" xfId="4" applyFont="1" applyBorder="1" applyAlignment="1">
      <alignment vertical="center" wrapText="1"/>
    </xf>
    <xf numFmtId="0" fontId="46" fillId="0" borderId="21" xfId="4" applyFont="1" applyBorder="1" applyAlignment="1">
      <alignment vertical="center" wrapText="1"/>
    </xf>
    <xf numFmtId="0" fontId="46" fillId="0" borderId="24" xfId="4" applyFont="1" applyBorder="1" applyAlignment="1">
      <alignment vertical="center" wrapText="1"/>
    </xf>
    <xf numFmtId="0" fontId="46" fillId="0" borderId="8" xfId="4" applyFont="1" applyBorder="1" applyAlignment="1">
      <alignment vertical="center" wrapText="1"/>
    </xf>
    <xf numFmtId="0" fontId="46" fillId="0" borderId="9" xfId="4" applyFont="1" applyBorder="1" applyAlignment="1">
      <alignment vertical="center" wrapText="1"/>
    </xf>
    <xf numFmtId="0" fontId="46" fillId="0" borderId="10" xfId="4" applyFont="1" applyBorder="1" applyAlignment="1">
      <alignment vertical="center" wrapText="1"/>
    </xf>
    <xf numFmtId="0" fontId="8" fillId="0" borderId="13" xfId="4" applyFont="1" applyBorder="1" applyAlignment="1">
      <alignment horizontal="center" vertical="center" wrapText="1"/>
    </xf>
    <xf numFmtId="0" fontId="8" fillId="0" borderId="14" xfId="4" applyFont="1" applyBorder="1" applyAlignment="1">
      <alignment horizontal="center" vertical="center" wrapText="1"/>
    </xf>
    <xf numFmtId="0" fontId="8" fillId="0" borderId="15" xfId="4" applyFont="1" applyBorder="1" applyAlignment="1">
      <alignment horizontal="center" vertical="center" wrapText="1"/>
    </xf>
    <xf numFmtId="0" fontId="8" fillId="0" borderId="23" xfId="4" applyFont="1" applyBorder="1" applyAlignment="1">
      <alignment horizontal="left" vertical="center" wrapText="1"/>
    </xf>
    <xf numFmtId="0" fontId="8" fillId="0" borderId="21" xfId="4" applyFont="1" applyBorder="1" applyAlignment="1">
      <alignment horizontal="left" vertical="center" wrapText="1"/>
    </xf>
    <xf numFmtId="0" fontId="8" fillId="0" borderId="24" xfId="4" applyFont="1" applyBorder="1" applyAlignment="1">
      <alignment horizontal="left" vertical="center" wrapText="1"/>
    </xf>
    <xf numFmtId="0" fontId="8" fillId="0" borderId="18" xfId="4" applyFont="1" applyBorder="1" applyAlignment="1">
      <alignment horizontal="left" vertical="center" wrapText="1"/>
    </xf>
    <xf numFmtId="0" fontId="8" fillId="0" borderId="4" xfId="4" applyFont="1" applyBorder="1" applyAlignment="1">
      <alignment horizontal="center" vertical="center" wrapText="1"/>
    </xf>
    <xf numFmtId="0" fontId="8" fillId="0" borderId="2" xfId="4" applyFont="1" applyBorder="1" applyAlignment="1">
      <alignment wrapText="1"/>
    </xf>
    <xf numFmtId="0" fontId="8" fillId="0" borderId="3" xfId="4" applyFont="1" applyBorder="1" applyAlignment="1">
      <alignment wrapText="1"/>
    </xf>
    <xf numFmtId="0" fontId="8" fillId="0" borderId="8" xfId="4" applyFont="1" applyBorder="1" applyAlignment="1">
      <alignment wrapText="1"/>
    </xf>
    <xf numFmtId="0" fontId="8" fillId="0" borderId="9" xfId="4" applyFont="1" applyBorder="1" applyAlignment="1">
      <alignment wrapText="1"/>
    </xf>
    <xf numFmtId="0" fontId="8" fillId="0" borderId="19" xfId="4" applyFont="1" applyBorder="1" applyAlignment="1">
      <alignment wrapText="1"/>
    </xf>
    <xf numFmtId="0" fontId="21" fillId="0" borderId="4" xfId="2" applyFont="1" applyBorder="1" applyAlignment="1">
      <alignment horizontal="center" vertical="center" wrapText="1"/>
    </xf>
    <xf numFmtId="0" fontId="21" fillId="0" borderId="3" xfId="2" applyFont="1" applyBorder="1" applyAlignment="1">
      <alignment horizontal="center" vertical="center" wrapText="1"/>
    </xf>
    <xf numFmtId="0" fontId="21" fillId="0" borderId="18" xfId="2" applyFont="1" applyBorder="1" applyAlignment="1">
      <alignment horizontal="center" vertical="center" wrapText="1"/>
    </xf>
    <xf numFmtId="0" fontId="21" fillId="0" borderId="15" xfId="2" applyFont="1" applyBorder="1" applyAlignment="1">
      <alignment horizontal="center" vertical="center" wrapText="1"/>
    </xf>
    <xf numFmtId="0" fontId="21" fillId="0" borderId="45" xfId="2" applyFont="1" applyBorder="1" applyAlignment="1">
      <alignment horizontal="center" vertical="center" wrapText="1"/>
    </xf>
    <xf numFmtId="0" fontId="21" fillId="0" borderId="46" xfId="2" applyFont="1" applyBorder="1" applyAlignment="1">
      <alignment wrapText="1"/>
    </xf>
    <xf numFmtId="0" fontId="8" fillId="0" borderId="5" xfId="4" applyFont="1" applyBorder="1" applyAlignment="1">
      <alignment horizontal="center" vertical="center" wrapText="1"/>
    </xf>
    <xf numFmtId="0" fontId="8" fillId="0" borderId="8" xfId="4" applyFont="1" applyBorder="1" applyAlignment="1">
      <alignment horizontal="center" vertical="center" wrapText="1"/>
    </xf>
    <xf numFmtId="0" fontId="8" fillId="0" borderId="10" xfId="4" applyFont="1" applyBorder="1" applyAlignment="1">
      <alignment horizontal="center" vertical="center" wrapText="1"/>
    </xf>
    <xf numFmtId="0" fontId="40" fillId="0" borderId="49" xfId="4" applyFont="1" applyBorder="1" applyAlignment="1">
      <alignment horizontal="left" vertical="center" wrapText="1"/>
    </xf>
    <xf numFmtId="0" fontId="40" fillId="0" borderId="35" xfId="4" applyFont="1" applyBorder="1" applyAlignment="1">
      <alignment horizontal="left" vertical="center" wrapText="1"/>
    </xf>
    <xf numFmtId="0" fontId="40" fillId="0" borderId="1" xfId="4" applyFont="1" applyBorder="1" applyAlignment="1">
      <alignment horizontal="left" vertical="center" wrapText="1"/>
    </xf>
    <xf numFmtId="0" fontId="40" fillId="0" borderId="6" xfId="4" applyFont="1" applyBorder="1" applyAlignment="1">
      <alignment horizontal="left" vertical="center" wrapText="1"/>
    </xf>
    <xf numFmtId="0" fontId="5" fillId="0" borderId="11" xfId="4" applyFont="1" applyBorder="1" applyAlignment="1">
      <alignment horizontal="center"/>
    </xf>
    <xf numFmtId="0" fontId="5" fillId="0" borderId="0" xfId="4" applyFont="1" applyAlignment="1">
      <alignment horizontal="center"/>
    </xf>
    <xf numFmtId="0" fontId="8" fillId="0" borderId="0" xfId="4" applyFont="1" applyAlignment="1">
      <alignment horizontal="center"/>
    </xf>
    <xf numFmtId="0" fontId="8" fillId="0" borderId="12" xfId="4" applyFont="1" applyBorder="1" applyAlignment="1">
      <alignment horizontal="center"/>
    </xf>
    <xf numFmtId="0" fontId="8" fillId="0" borderId="23" xfId="4" applyFont="1" applyBorder="1" applyAlignment="1">
      <alignment horizontal="center"/>
    </xf>
    <xf numFmtId="0" fontId="8" fillId="0" borderId="24" xfId="4" applyFont="1" applyBorder="1" applyAlignment="1">
      <alignment horizontal="center"/>
    </xf>
    <xf numFmtId="0" fontId="8" fillId="0" borderId="6" xfId="4" applyFont="1" applyBorder="1" applyAlignment="1">
      <alignment horizontal="center"/>
    </xf>
    <xf numFmtId="0" fontId="8" fillId="0" borderId="7" xfId="4" applyFont="1" applyBorder="1" applyAlignment="1">
      <alignment horizontal="center"/>
    </xf>
    <xf numFmtId="0" fontId="46" fillId="0" borderId="11" xfId="4" applyFont="1" applyBorder="1" applyAlignment="1">
      <alignment horizontal="left" vertical="top" wrapText="1"/>
    </xf>
    <xf numFmtId="0" fontId="46" fillId="0" borderId="0" xfId="4" applyFont="1" applyAlignment="1">
      <alignment horizontal="left" vertical="top" wrapText="1"/>
    </xf>
    <xf numFmtId="0" fontId="46" fillId="0" borderId="7" xfId="4" applyFont="1" applyBorder="1" applyAlignment="1">
      <alignment horizontal="left" vertical="top" wrapText="1"/>
    </xf>
    <xf numFmtId="0" fontId="11" fillId="0" borderId="11" xfId="4" quotePrefix="1" applyFont="1" applyBorder="1" applyAlignment="1">
      <alignment horizontal="center" vertical="center"/>
    </xf>
    <xf numFmtId="0" fontId="11" fillId="0" borderId="7" xfId="4" quotePrefix="1" applyFont="1" applyBorder="1" applyAlignment="1">
      <alignment horizontal="center" vertical="center"/>
    </xf>
    <xf numFmtId="41" fontId="8" fillId="0" borderId="11" xfId="1" applyNumberFormat="1" applyFont="1" applyBorder="1" applyAlignment="1">
      <alignment horizontal="center"/>
    </xf>
    <xf numFmtId="41" fontId="8" fillId="0" borderId="12" xfId="1" applyNumberFormat="1" applyFont="1" applyBorder="1" applyAlignment="1">
      <alignment horizontal="center"/>
    </xf>
    <xf numFmtId="43" fontId="11" fillId="0" borderId="11" xfId="1" applyFont="1" applyBorder="1" applyAlignment="1">
      <alignment horizontal="center" vertical="center"/>
    </xf>
    <xf numFmtId="43" fontId="11" fillId="0" borderId="12" xfId="1" applyFont="1" applyBorder="1" applyAlignment="1">
      <alignment horizontal="center" vertical="center"/>
    </xf>
    <xf numFmtId="0" fontId="11" fillId="0" borderId="11" xfId="4" applyFont="1" applyBorder="1" applyAlignment="1">
      <alignment horizontal="center" vertical="center"/>
    </xf>
    <xf numFmtId="0" fontId="11" fillId="0" borderId="12" xfId="4" applyFont="1" applyBorder="1" applyAlignment="1">
      <alignment horizontal="center" vertical="center"/>
    </xf>
    <xf numFmtId="0" fontId="20" fillId="0" borderId="0" xfId="4" applyFont="1" applyAlignment="1">
      <alignment horizontal="center" vertical="center"/>
    </xf>
    <xf numFmtId="0" fontId="20" fillId="0" borderId="12" xfId="4" applyFont="1" applyBorder="1" applyAlignment="1">
      <alignment horizontal="center" vertical="center"/>
    </xf>
    <xf numFmtId="0" fontId="5" fillId="0" borderId="18" xfId="4" applyFont="1" applyBorder="1" applyAlignment="1">
      <alignment horizontal="center" wrapText="1"/>
    </xf>
    <xf numFmtId="0" fontId="5" fillId="0" borderId="14" xfId="4" applyFont="1" applyBorder="1" applyAlignment="1">
      <alignment horizontal="center" wrapText="1"/>
    </xf>
    <xf numFmtId="0" fontId="5" fillId="0" borderId="15" xfId="4" applyFont="1" applyBorder="1" applyAlignment="1">
      <alignment horizontal="center" wrapText="1"/>
    </xf>
    <xf numFmtId="43" fontId="20" fillId="0" borderId="30" xfId="1" applyFont="1" applyBorder="1" applyAlignment="1">
      <alignment horizontal="center" vertical="center"/>
    </xf>
    <xf numFmtId="43" fontId="20" fillId="0" borderId="32" xfId="1" applyFont="1" applyBorder="1" applyAlignment="1">
      <alignment horizontal="center" vertical="center"/>
    </xf>
    <xf numFmtId="0" fontId="8" fillId="0" borderId="6" xfId="4" applyFont="1" applyBorder="1" applyAlignment="1">
      <alignment wrapText="1"/>
    </xf>
    <xf numFmtId="0" fontId="8" fillId="0" borderId="6" xfId="4" applyFont="1" applyBorder="1" applyAlignment="1">
      <alignment horizontal="center" vertical="center" wrapText="1"/>
    </xf>
    <xf numFmtId="0" fontId="8" fillId="0" borderId="0" xfId="4" applyFont="1" applyAlignment="1">
      <alignment horizontal="center" vertical="center" wrapText="1"/>
    </xf>
    <xf numFmtId="0" fontId="8" fillId="0" borderId="9" xfId="4" applyFont="1" applyBorder="1" applyAlignment="1">
      <alignment horizontal="left" wrapText="1"/>
    </xf>
    <xf numFmtId="0" fontId="8" fillId="0" borderId="10" xfId="4" applyFont="1" applyBorder="1" applyAlignment="1">
      <alignment horizontal="left" wrapText="1"/>
    </xf>
    <xf numFmtId="0" fontId="20" fillId="0" borderId="0" xfId="4" applyFont="1" applyAlignment="1">
      <alignment horizontal="center" vertical="center" wrapText="1"/>
    </xf>
    <xf numFmtId="0" fontId="20" fillId="0" borderId="12" xfId="4" applyFont="1" applyBorder="1" applyAlignment="1">
      <alignment horizontal="center" vertical="center" wrapText="1"/>
    </xf>
    <xf numFmtId="0" fontId="11" fillId="0" borderId="0" xfId="4" applyFont="1" applyAlignment="1">
      <alignment horizontal="center" vertical="center"/>
    </xf>
    <xf numFmtId="0" fontId="8" fillId="0" borderId="12" xfId="4" applyFont="1" applyBorder="1" applyAlignment="1">
      <alignment horizontal="center" vertical="center" wrapText="1"/>
    </xf>
    <xf numFmtId="0" fontId="5" fillId="0" borderId="51" xfId="4" applyFont="1" applyBorder="1" applyAlignment="1">
      <alignment horizontal="center"/>
    </xf>
    <xf numFmtId="0" fontId="5" fillId="0" borderId="52" xfId="4" applyFont="1" applyBorder="1" applyAlignment="1">
      <alignment horizontal="center"/>
    </xf>
    <xf numFmtId="0" fontId="5" fillId="0" borderId="53" xfId="4" applyFont="1" applyBorder="1" applyAlignment="1">
      <alignment horizontal="center"/>
    </xf>
    <xf numFmtId="0" fontId="5" fillId="0" borderId="54" xfId="4" applyFont="1" applyBorder="1" applyAlignment="1">
      <alignment horizontal="center"/>
    </xf>
    <xf numFmtId="0" fontId="11" fillId="0" borderId="0" xfId="4" applyFont="1" applyAlignment="1">
      <alignment horizontal="center" vertical="center" wrapText="1"/>
    </xf>
    <xf numFmtId="0" fontId="11" fillId="0" borderId="12" xfId="4" applyFont="1" applyBorder="1" applyAlignment="1">
      <alignment horizontal="center" vertical="center" wrapText="1"/>
    </xf>
    <xf numFmtId="0" fontId="8" fillId="0" borderId="47" xfId="2" applyFont="1" applyBorder="1" applyAlignment="1">
      <alignment horizontal="center" vertical="center"/>
    </xf>
    <xf numFmtId="0" fontId="8" fillId="0" borderId="8" xfId="4" applyFont="1" applyBorder="1" applyAlignment="1">
      <alignment horizontal="center"/>
    </xf>
    <xf numFmtId="0" fontId="8" fillId="0" borderId="10" xfId="4" applyFont="1" applyBorder="1" applyAlignment="1">
      <alignment horizontal="center"/>
    </xf>
    <xf numFmtId="0" fontId="8" fillId="0" borderId="8" xfId="4" applyFont="1" applyBorder="1" applyAlignment="1">
      <alignment horizontal="center" vertical="top"/>
    </xf>
    <xf numFmtId="0" fontId="8" fillId="0" borderId="19" xfId="4" applyFont="1" applyBorder="1" applyAlignment="1">
      <alignment horizontal="center" vertical="top"/>
    </xf>
    <xf numFmtId="165" fontId="10" fillId="0" borderId="67" xfId="4" quotePrefix="1" applyNumberFormat="1" applyFont="1" applyBorder="1" applyAlignment="1">
      <alignment horizontal="center" vertical="center" wrapText="1"/>
    </xf>
    <xf numFmtId="165" fontId="10" fillId="0" borderId="48" xfId="4" quotePrefix="1" applyNumberFormat="1" applyFont="1" applyBorder="1" applyAlignment="1">
      <alignment horizontal="center" vertical="center" wrapText="1"/>
    </xf>
    <xf numFmtId="165" fontId="10" fillId="0" borderId="56" xfId="4" quotePrefix="1" applyNumberFormat="1" applyFont="1" applyBorder="1" applyAlignment="1">
      <alignment horizontal="center" vertical="center" wrapText="1"/>
    </xf>
    <xf numFmtId="165" fontId="23" fillId="0" borderId="23" xfId="4" quotePrefix="1" applyNumberFormat="1" applyFont="1" applyBorder="1" applyAlignment="1">
      <alignment horizontal="center" vertical="center" wrapText="1"/>
    </xf>
    <xf numFmtId="165" fontId="23" fillId="0" borderId="21" xfId="4" quotePrefix="1" applyNumberFormat="1" applyFont="1" applyBorder="1" applyAlignment="1">
      <alignment horizontal="center" vertical="center" wrapText="1"/>
    </xf>
    <xf numFmtId="165" fontId="23" fillId="0" borderId="22" xfId="4" quotePrefix="1" applyNumberFormat="1" applyFont="1" applyBorder="1" applyAlignment="1">
      <alignment horizontal="center" vertical="center" wrapText="1"/>
    </xf>
    <xf numFmtId="165" fontId="23" fillId="0" borderId="11" xfId="4" quotePrefix="1" applyNumberFormat="1" applyFont="1" applyBorder="1" applyAlignment="1">
      <alignment horizontal="center" vertical="center" wrapText="1"/>
    </xf>
    <xf numFmtId="165" fontId="23" fillId="0" borderId="0" xfId="4" quotePrefix="1" applyNumberFormat="1" applyFont="1" applyAlignment="1">
      <alignment horizontal="center" vertical="center" wrapText="1"/>
    </xf>
    <xf numFmtId="165" fontId="23" fillId="0" borderId="7" xfId="4" quotePrefix="1" applyNumberFormat="1" applyFont="1" applyBorder="1" applyAlignment="1">
      <alignment horizontal="center" vertical="center" wrapText="1"/>
    </xf>
    <xf numFmtId="165" fontId="23" fillId="0" borderId="18" xfId="4" quotePrefix="1" applyNumberFormat="1" applyFont="1" applyBorder="1" applyAlignment="1">
      <alignment horizontal="center" vertical="center" wrapText="1"/>
    </xf>
    <xf numFmtId="165" fontId="23" fillId="0" borderId="14" xfId="4" quotePrefix="1" applyNumberFormat="1" applyFont="1" applyBorder="1" applyAlignment="1">
      <alignment horizontal="center" vertical="center" wrapText="1"/>
    </xf>
    <xf numFmtId="165" fontId="23" fillId="0" borderId="15" xfId="4" quotePrefix="1" applyNumberFormat="1" applyFont="1" applyBorder="1" applyAlignment="1">
      <alignment horizontal="center" vertical="center" wrapText="1"/>
    </xf>
    <xf numFmtId="0" fontId="10" fillId="0" borderId="11" xfId="4" quotePrefix="1" applyFont="1" applyBorder="1" applyAlignment="1">
      <alignment horizontal="left" wrapText="1"/>
    </xf>
    <xf numFmtId="0" fontId="10" fillId="0" borderId="0" xfId="4" quotePrefix="1" applyFont="1" applyAlignment="1">
      <alignment horizontal="left" wrapText="1"/>
    </xf>
    <xf numFmtId="0" fontId="10" fillId="0" borderId="7" xfId="4" quotePrefix="1" applyFont="1" applyBorder="1" applyAlignment="1">
      <alignment horizontal="left" wrapText="1"/>
    </xf>
    <xf numFmtId="43" fontId="10" fillId="0" borderId="11" xfId="1" applyFont="1" applyBorder="1" applyAlignment="1">
      <alignment horizontal="center"/>
    </xf>
    <xf numFmtId="43" fontId="10" fillId="0" borderId="7" xfId="1" applyFont="1" applyBorder="1" applyAlignment="1">
      <alignment horizontal="center"/>
    </xf>
    <xf numFmtId="0" fontId="8" fillId="0" borderId="48" xfId="4" applyFont="1" applyBorder="1" applyAlignment="1">
      <alignment horizontal="center" vertical="center"/>
    </xf>
    <xf numFmtId="0" fontId="8" fillId="0" borderId="35" xfId="4" applyFont="1" applyBorder="1" applyAlignment="1">
      <alignment horizontal="center" vertical="center"/>
    </xf>
    <xf numFmtId="165" fontId="8" fillId="0" borderId="11" xfId="4" applyNumberFormat="1" applyFont="1" applyBorder="1" applyAlignment="1">
      <alignment horizontal="center" vertical="center"/>
    </xf>
    <xf numFmtId="165" fontId="8" fillId="0" borderId="0" xfId="4" applyNumberFormat="1" applyFont="1" applyAlignment="1">
      <alignment horizontal="center" vertical="center"/>
    </xf>
    <xf numFmtId="165" fontId="8" fillId="0" borderId="8" xfId="4" applyNumberFormat="1" applyFont="1" applyBorder="1" applyAlignment="1">
      <alignment horizontal="center" vertical="center"/>
    </xf>
    <xf numFmtId="165" fontId="8" fillId="0" borderId="9" xfId="4" applyNumberFormat="1" applyFont="1" applyBorder="1" applyAlignment="1">
      <alignment horizontal="center" vertical="center"/>
    </xf>
    <xf numFmtId="0" fontId="8" fillId="0" borderId="4" xfId="2" applyFont="1" applyBorder="1" applyAlignment="1">
      <alignment horizontal="center" vertical="center" wrapText="1"/>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11" xfId="2" applyFont="1" applyBorder="1" applyAlignment="1">
      <alignment horizontal="center" vertical="center" wrapText="1"/>
    </xf>
    <xf numFmtId="0" fontId="8" fillId="0" borderId="0" xfId="2" applyFont="1" applyBorder="1" applyAlignment="1">
      <alignment horizontal="center" vertical="center" wrapText="1"/>
    </xf>
    <xf numFmtId="0" fontId="8" fillId="0" borderId="7" xfId="2" applyFont="1" applyBorder="1" applyAlignment="1">
      <alignment horizontal="center" vertical="center" wrapText="1"/>
    </xf>
    <xf numFmtId="0" fontId="8" fillId="0" borderId="8" xfId="2" applyFont="1" applyBorder="1" applyAlignment="1">
      <alignment horizontal="center" vertical="center" wrapText="1"/>
    </xf>
    <xf numFmtId="0" fontId="8" fillId="0" borderId="9" xfId="2" applyFont="1" applyBorder="1" applyAlignment="1">
      <alignment horizontal="center" vertical="center" wrapText="1"/>
    </xf>
    <xf numFmtId="0" fontId="8" fillId="0" borderId="19" xfId="2" applyFont="1" applyBorder="1" applyAlignment="1">
      <alignment horizontal="center" vertical="center" wrapText="1"/>
    </xf>
    <xf numFmtId="0" fontId="8" fillId="0" borderId="7" xfId="2" applyFont="1" applyBorder="1" applyAlignment="1">
      <alignment horizontal="center" vertical="center"/>
    </xf>
    <xf numFmtId="0" fontId="8" fillId="0" borderId="11" xfId="2" applyFont="1" applyBorder="1" applyAlignment="1">
      <alignment horizontal="center" vertical="center"/>
    </xf>
    <xf numFmtId="0" fontId="11" fillId="0" borderId="11" xfId="4" applyFont="1" applyBorder="1" applyAlignment="1">
      <alignment horizontal="left" vertical="top" wrapText="1"/>
    </xf>
    <xf numFmtId="0" fontId="11" fillId="0" borderId="0" xfId="4" applyFont="1" applyAlignment="1">
      <alignment horizontal="left" vertical="top" wrapText="1"/>
    </xf>
    <xf numFmtId="0" fontId="11" fillId="0" borderId="7" xfId="4" applyFont="1" applyBorder="1" applyAlignment="1">
      <alignment horizontal="left" vertical="top" wrapText="1"/>
    </xf>
    <xf numFmtId="0" fontId="9" fillId="0" borderId="6" xfId="0" applyFont="1" applyBorder="1" applyAlignment="1">
      <alignment horizontal="left"/>
    </xf>
    <xf numFmtId="0" fontId="9" fillId="0" borderId="0" xfId="0" applyFont="1" applyAlignment="1">
      <alignment horizontal="left"/>
    </xf>
    <xf numFmtId="0" fontId="9" fillId="0" borderId="12" xfId="0" applyFont="1" applyBorder="1" applyAlignment="1">
      <alignment horizontal="left"/>
    </xf>
    <xf numFmtId="0" fontId="31" fillId="0" borderId="6" xfId="0" applyFont="1" applyBorder="1" applyAlignment="1">
      <alignment horizontal="left"/>
    </xf>
    <xf numFmtId="0" fontId="31" fillId="0" borderId="12" xfId="0" applyFont="1" applyBorder="1" applyAlignment="1">
      <alignment horizontal="left"/>
    </xf>
    <xf numFmtId="0" fontId="31" fillId="0" borderId="52" xfId="0" applyFont="1" applyBorder="1" applyAlignment="1">
      <alignment horizontal="center"/>
    </xf>
    <xf numFmtId="0" fontId="31" fillId="0" borderId="6" xfId="0" applyFont="1" applyBorder="1" applyAlignment="1">
      <alignment horizontal="left" vertical="top"/>
    </xf>
    <xf numFmtId="0" fontId="31" fillId="0" borderId="12" xfId="0" applyFont="1" applyBorder="1" applyAlignment="1">
      <alignment horizontal="left" vertical="top"/>
    </xf>
    <xf numFmtId="0" fontId="31" fillId="0" borderId="6" xfId="0" applyFont="1" applyBorder="1" applyAlignment="1">
      <alignment horizontal="left" vertical="top" wrapText="1"/>
    </xf>
    <xf numFmtId="0" fontId="31" fillId="0" borderId="12" xfId="0" applyFont="1" applyBorder="1" applyAlignment="1">
      <alignment horizontal="left" vertical="top" wrapText="1"/>
    </xf>
    <xf numFmtId="0" fontId="31" fillId="0" borderId="13" xfId="0" applyFont="1" applyBorder="1" applyAlignment="1">
      <alignment horizontal="left" vertical="top" wrapText="1"/>
    </xf>
    <xf numFmtId="0" fontId="31" fillId="0" borderId="16" xfId="0" applyFont="1" applyBorder="1" applyAlignment="1">
      <alignment horizontal="left" vertical="top" wrapText="1"/>
    </xf>
    <xf numFmtId="49" fontId="31" fillId="0" borderId="60" xfId="0" quotePrefix="1" applyNumberFormat="1" applyFont="1" applyBorder="1" applyAlignment="1">
      <alignment horizontal="left" wrapText="1"/>
    </xf>
    <xf numFmtId="49" fontId="31" fillId="0" borderId="63" xfId="0" quotePrefix="1" applyNumberFormat="1" applyFont="1" applyBorder="1" applyAlignment="1">
      <alignment horizontal="left" wrapText="1"/>
    </xf>
    <xf numFmtId="0" fontId="31" fillId="0" borderId="6" xfId="0" applyFont="1" applyBorder="1" applyAlignment="1">
      <alignment horizontal="left" vertical="center"/>
    </xf>
    <xf numFmtId="0" fontId="31" fillId="0" borderId="12" xfId="0" applyFont="1" applyBorder="1" applyAlignment="1">
      <alignment horizontal="left" vertical="center"/>
    </xf>
    <xf numFmtId="14" fontId="31" fillId="0" borderId="63" xfId="0" quotePrefix="1" applyNumberFormat="1" applyFont="1" applyBorder="1" applyAlignment="1">
      <alignment horizontal="left" vertical="top" wrapText="1"/>
    </xf>
    <xf numFmtId="14" fontId="31" fillId="0" borderId="63" xfId="0" applyNumberFormat="1" applyFont="1" applyBorder="1" applyAlignment="1">
      <alignment horizontal="center" vertical="top" wrapText="1"/>
    </xf>
    <xf numFmtId="0" fontId="32" fillId="0" borderId="23" xfId="0" applyFont="1" applyBorder="1" applyAlignment="1">
      <alignment horizontal="center"/>
    </xf>
    <xf numFmtId="0" fontId="32" fillId="0" borderId="21" xfId="0" applyFont="1" applyBorder="1" applyAlignment="1">
      <alignment horizontal="center"/>
    </xf>
    <xf numFmtId="0" fontId="32" fillId="0" borderId="22" xfId="0" applyFont="1" applyBorder="1" applyAlignment="1">
      <alignment horizontal="center"/>
    </xf>
    <xf numFmtId="0" fontId="32" fillId="0" borderId="8" xfId="0" applyFont="1" applyBorder="1" applyAlignment="1">
      <alignment horizontal="center"/>
    </xf>
    <xf numFmtId="0" fontId="32" fillId="0" borderId="9" xfId="0" applyFont="1" applyBorder="1" applyAlignment="1">
      <alignment horizontal="center"/>
    </xf>
    <xf numFmtId="0" fontId="32" fillId="0" borderId="19" xfId="0" applyFont="1" applyBorder="1" applyAlignment="1">
      <alignment horizontal="center"/>
    </xf>
    <xf numFmtId="0" fontId="34" fillId="0" borderId="17" xfId="0" applyFont="1" applyBorder="1" applyAlignment="1">
      <alignment horizontal="center"/>
    </xf>
    <xf numFmtId="14" fontId="32" fillId="0" borderId="39" xfId="0" applyNumberFormat="1" applyFont="1" applyBorder="1" applyAlignment="1">
      <alignment horizontal="center"/>
    </xf>
    <xf numFmtId="14" fontId="32" fillId="0" borderId="64" xfId="0" applyNumberFormat="1" applyFont="1" applyBorder="1" applyAlignment="1">
      <alignment horizontal="center"/>
    </xf>
    <xf numFmtId="0" fontId="34" fillId="0" borderId="17" xfId="0" applyFont="1" applyBorder="1" applyAlignment="1">
      <alignment horizontal="left"/>
    </xf>
    <xf numFmtId="0" fontId="32" fillId="0" borderId="39" xfId="0" quotePrefix="1" applyFont="1" applyBorder="1" applyAlignment="1">
      <alignment horizontal="center"/>
    </xf>
    <xf numFmtId="0" fontId="32" fillId="0" borderId="40" xfId="0" applyFont="1" applyBorder="1" applyAlignment="1">
      <alignment horizontal="center"/>
    </xf>
    <xf numFmtId="0" fontId="32" fillId="0" borderId="64" xfId="0" applyFont="1" applyBorder="1" applyAlignment="1">
      <alignment horizontal="center"/>
    </xf>
    <xf numFmtId="0" fontId="32" fillId="0" borderId="39" xfId="0" applyFont="1" applyBorder="1" applyAlignment="1">
      <alignment horizontal="center"/>
    </xf>
    <xf numFmtId="0" fontId="34" fillId="0" borderId="23" xfId="0" applyFont="1" applyBorder="1" applyAlignment="1">
      <alignment horizontal="left" vertical="top"/>
    </xf>
    <xf numFmtId="0" fontId="34" fillId="0" borderId="21" xfId="0" applyFont="1" applyBorder="1" applyAlignment="1">
      <alignment horizontal="left" vertical="top"/>
    </xf>
    <xf numFmtId="0" fontId="34" fillId="0" borderId="22" xfId="0" applyFont="1" applyBorder="1" applyAlignment="1">
      <alignment horizontal="left" vertical="top"/>
    </xf>
    <xf numFmtId="0" fontId="34" fillId="0" borderId="8" xfId="0" applyFont="1" applyBorder="1" applyAlignment="1">
      <alignment horizontal="left" vertical="top"/>
    </xf>
    <xf numFmtId="0" fontId="34" fillId="0" borderId="9" xfId="0" applyFont="1" applyBorder="1" applyAlignment="1">
      <alignment horizontal="left" vertical="top"/>
    </xf>
    <xf numFmtId="0" fontId="34" fillId="0" borderId="19" xfId="0" applyFont="1" applyBorder="1" applyAlignment="1">
      <alignment horizontal="left" vertical="top"/>
    </xf>
    <xf numFmtId="0" fontId="34" fillId="0" borderId="23" xfId="0" applyFont="1" applyBorder="1" applyAlignment="1">
      <alignment horizontal="center" vertical="center"/>
    </xf>
    <xf numFmtId="0" fontId="34" fillId="0" borderId="21" xfId="0" applyFont="1" applyBorder="1" applyAlignment="1">
      <alignment horizontal="center" vertical="center"/>
    </xf>
    <xf numFmtId="0" fontId="34" fillId="0" borderId="22" xfId="0" applyFont="1" applyBorder="1" applyAlignment="1">
      <alignment horizontal="center" vertical="center"/>
    </xf>
    <xf numFmtId="0" fontId="34" fillId="0" borderId="8" xfId="0" applyFont="1" applyBorder="1" applyAlignment="1">
      <alignment horizontal="center" vertical="center"/>
    </xf>
    <xf numFmtId="0" fontId="34" fillId="0" borderId="9" xfId="0" applyFont="1" applyBorder="1" applyAlignment="1">
      <alignment horizontal="center" vertical="center"/>
    </xf>
    <xf numFmtId="0" fontId="34" fillId="0" borderId="19" xfId="0" applyFont="1" applyBorder="1" applyAlignment="1">
      <alignment horizontal="center" vertical="center"/>
    </xf>
    <xf numFmtId="0" fontId="37" fillId="0" borderId="11" xfId="0" applyFont="1" applyBorder="1" applyAlignment="1">
      <alignment horizontal="left" vertical="top" wrapText="1"/>
    </xf>
    <xf numFmtId="0" fontId="37" fillId="0" borderId="0" xfId="0" applyFont="1" applyAlignment="1">
      <alignment horizontal="left" vertical="top" wrapText="1"/>
    </xf>
    <xf numFmtId="0" fontId="37" fillId="0" borderId="7" xfId="0" applyFont="1" applyBorder="1" applyAlignment="1">
      <alignment horizontal="left" vertical="top" wrapText="1"/>
    </xf>
    <xf numFmtId="0" fontId="38" fillId="0" borderId="17" xfId="0" applyFont="1" applyBorder="1" applyAlignment="1">
      <alignment horizontal="left" wrapText="1"/>
    </xf>
    <xf numFmtId="0" fontId="32" fillId="0" borderId="17" xfId="0" applyFont="1" applyBorder="1" applyAlignment="1">
      <alignment horizontal="center"/>
    </xf>
    <xf numFmtId="0" fontId="34" fillId="0" borderId="17" xfId="0" applyFont="1" applyBorder="1" applyAlignment="1">
      <alignment horizontal="right"/>
    </xf>
    <xf numFmtId="43" fontId="34" fillId="0" borderId="39" xfId="0" applyNumberFormat="1" applyFont="1" applyBorder="1" applyAlignment="1">
      <alignment horizontal="center"/>
    </xf>
    <xf numFmtId="0" fontId="34" fillId="0" borderId="64" xfId="0" applyFont="1" applyBorder="1" applyAlignment="1">
      <alignment horizontal="center"/>
    </xf>
    <xf numFmtId="0" fontId="34" fillId="0" borderId="17" xfId="0" applyFont="1" applyBorder="1" applyAlignment="1">
      <alignment horizontal="left" vertical="center"/>
    </xf>
    <xf numFmtId="0" fontId="35" fillId="0" borderId="17" xfId="0" applyFont="1" applyBorder="1" applyAlignment="1">
      <alignment horizontal="center" vertical="center"/>
    </xf>
    <xf numFmtId="0" fontId="32" fillId="0" borderId="17" xfId="0" applyFont="1" applyBorder="1" applyAlignment="1">
      <alignment horizontal="left" vertical="center"/>
    </xf>
    <xf numFmtId="0" fontId="34" fillId="0" borderId="39" xfId="0" applyFont="1" applyBorder="1" applyAlignment="1">
      <alignment horizontal="center"/>
    </xf>
    <xf numFmtId="0" fontId="34" fillId="0" borderId="40" xfId="0" applyFont="1" applyBorder="1" applyAlignment="1">
      <alignment horizontal="center"/>
    </xf>
    <xf numFmtId="43" fontId="32" fillId="0" borderId="39" xfId="1" applyFont="1" applyBorder="1" applyAlignment="1">
      <alignment horizontal="center"/>
    </xf>
    <xf numFmtId="43" fontId="32" fillId="0" borderId="64" xfId="1" applyFont="1" applyBorder="1" applyAlignment="1">
      <alignment horizontal="center"/>
    </xf>
    <xf numFmtId="0" fontId="32" fillId="0" borderId="39" xfId="0" applyFont="1" applyBorder="1" applyAlignment="1">
      <alignment horizontal="left"/>
    </xf>
    <xf numFmtId="0" fontId="32" fillId="0" borderId="40" xfId="0" applyFont="1" applyBorder="1" applyAlignment="1">
      <alignment horizontal="left"/>
    </xf>
    <xf numFmtId="0" fontId="32" fillId="0" borderId="64" xfId="0" applyFont="1" applyBorder="1" applyAlignment="1">
      <alignment horizontal="left"/>
    </xf>
    <xf numFmtId="0" fontId="32" fillId="0" borderId="11" xfId="0" applyFont="1" applyBorder="1" applyAlignment="1">
      <alignment horizontal="center"/>
    </xf>
    <xf numFmtId="0" fontId="32" fillId="0" borderId="0" xfId="0" applyFont="1" applyAlignment="1">
      <alignment horizontal="center"/>
    </xf>
    <xf numFmtId="0" fontId="32" fillId="0" borderId="7" xfId="0" applyFont="1" applyBorder="1" applyAlignment="1">
      <alignment horizontal="center"/>
    </xf>
    <xf numFmtId="0" fontId="33" fillId="0" borderId="11" xfId="0" applyFont="1" applyBorder="1" applyAlignment="1">
      <alignment horizontal="center" vertical="center"/>
    </xf>
    <xf numFmtId="0" fontId="33" fillId="0" borderId="0" xfId="0" applyFont="1" applyAlignment="1">
      <alignment horizontal="center" vertical="center"/>
    </xf>
    <xf numFmtId="0" fontId="33" fillId="0" borderId="7" xfId="0" applyFont="1" applyBorder="1" applyAlignment="1">
      <alignment horizontal="center" vertical="center"/>
    </xf>
    <xf numFmtId="0" fontId="34" fillId="0" borderId="8" xfId="0" applyFont="1" applyBorder="1" applyAlignment="1">
      <alignment horizontal="right"/>
    </xf>
    <xf numFmtId="0" fontId="34" fillId="0" borderId="9" xfId="0" applyFont="1" applyBorder="1" applyAlignment="1">
      <alignment horizontal="right"/>
    </xf>
    <xf numFmtId="0" fontId="34" fillId="0" borderId="19" xfId="0" applyFont="1" applyBorder="1" applyAlignment="1">
      <alignment horizontal="right"/>
    </xf>
    <xf numFmtId="0" fontId="34" fillId="0" borderId="23" xfId="0" applyFont="1" applyBorder="1" applyAlignment="1">
      <alignment horizontal="center"/>
    </xf>
    <xf numFmtId="0" fontId="34" fillId="0" borderId="21" xfId="0" applyFont="1" applyBorder="1" applyAlignment="1">
      <alignment horizontal="center"/>
    </xf>
    <xf numFmtId="0" fontId="34" fillId="0" borderId="22" xfId="0" applyFont="1" applyBorder="1" applyAlignment="1">
      <alignment horizontal="center"/>
    </xf>
    <xf numFmtId="0" fontId="34" fillId="0" borderId="23" xfId="0" applyFont="1" applyBorder="1" applyAlignment="1">
      <alignment vertical="center"/>
    </xf>
    <xf numFmtId="0" fontId="34" fillId="0" borderId="21" xfId="0" applyFont="1" applyBorder="1" applyAlignment="1">
      <alignment vertical="center"/>
    </xf>
    <xf numFmtId="0" fontId="34" fillId="0" borderId="22" xfId="0" applyFont="1" applyBorder="1" applyAlignment="1">
      <alignment vertical="center"/>
    </xf>
    <xf numFmtId="0" fontId="34" fillId="0" borderId="8" xfId="0" applyFont="1" applyBorder="1" applyAlignment="1">
      <alignment vertical="center"/>
    </xf>
    <xf numFmtId="0" fontId="34" fillId="0" borderId="9" xfId="0" applyFont="1" applyBorder="1" applyAlignment="1">
      <alignment vertical="center"/>
    </xf>
    <xf numFmtId="0" fontId="34" fillId="0" borderId="19" xfId="0" applyFont="1" applyBorder="1" applyAlignment="1">
      <alignment vertical="center"/>
    </xf>
    <xf numFmtId="0" fontId="38" fillId="0" borderId="23" xfId="0" applyFont="1" applyBorder="1" applyAlignment="1">
      <alignment horizontal="left" wrapText="1"/>
    </xf>
    <xf numFmtId="0" fontId="38" fillId="0" borderId="21" xfId="0" applyFont="1" applyBorder="1" applyAlignment="1">
      <alignment horizontal="left" wrapText="1"/>
    </xf>
    <xf numFmtId="0" fontId="38" fillId="0" borderId="22" xfId="0" applyFont="1" applyBorder="1" applyAlignment="1">
      <alignment horizontal="left" wrapText="1"/>
    </xf>
    <xf numFmtId="0" fontId="38" fillId="0" borderId="11" xfId="0" applyFont="1" applyBorder="1" applyAlignment="1">
      <alignment horizontal="left" wrapText="1"/>
    </xf>
    <xf numFmtId="0" fontId="38" fillId="0" borderId="0" xfId="0" applyFont="1" applyAlignment="1">
      <alignment horizontal="left" wrapText="1"/>
    </xf>
    <xf numFmtId="0" fontId="38" fillId="0" borderId="7" xfId="0" applyFont="1" applyBorder="1" applyAlignment="1">
      <alignment horizontal="left" wrapText="1"/>
    </xf>
    <xf numFmtId="0" fontId="38" fillId="0" borderId="8" xfId="0" applyFont="1" applyBorder="1" applyAlignment="1">
      <alignment horizontal="left" wrapText="1"/>
    </xf>
    <xf numFmtId="0" fontId="38" fillId="0" borderId="9" xfId="0" applyFont="1" applyBorder="1" applyAlignment="1">
      <alignment horizontal="left" wrapText="1"/>
    </xf>
    <xf numFmtId="0" fontId="38" fillId="0" borderId="19" xfId="0" applyFont="1" applyBorder="1" applyAlignment="1">
      <alignment horizontal="left" wrapText="1"/>
    </xf>
    <xf numFmtId="0" fontId="20" fillId="0" borderId="23" xfId="4" applyFont="1" applyBorder="1" applyAlignment="1">
      <alignment vertical="center" wrapText="1"/>
    </xf>
    <xf numFmtId="0" fontId="20" fillId="0" borderId="21" xfId="4" applyFont="1" applyBorder="1" applyAlignment="1">
      <alignment vertical="center" wrapText="1"/>
    </xf>
    <xf numFmtId="0" fontId="20" fillId="0" borderId="24" xfId="4" applyFont="1" applyBorder="1" applyAlignment="1">
      <alignment vertical="center" wrapText="1"/>
    </xf>
    <xf numFmtId="0" fontId="20" fillId="0" borderId="8" xfId="4" applyFont="1" applyBorder="1" applyAlignment="1">
      <alignment vertical="center" wrapText="1"/>
    </xf>
    <xf numFmtId="0" fontId="20" fillId="0" borderId="9" xfId="4" applyFont="1" applyBorder="1" applyAlignment="1">
      <alignment vertical="center" wrapText="1"/>
    </xf>
    <xf numFmtId="0" fontId="20" fillId="0" borderId="10" xfId="4" applyFont="1" applyBorder="1" applyAlignment="1">
      <alignment vertical="center" wrapText="1"/>
    </xf>
    <xf numFmtId="0" fontId="8" fillId="0" borderId="0" xfId="2" applyFont="1" applyAlignment="1">
      <alignment horizontal="center" vertical="center" wrapText="1"/>
    </xf>
    <xf numFmtId="0" fontId="8" fillId="0" borderId="12" xfId="2" applyFont="1" applyBorder="1" applyAlignment="1">
      <alignment horizontal="center" vertical="center" wrapText="1"/>
    </xf>
    <xf numFmtId="0" fontId="8" fillId="0" borderId="18" xfId="2" applyFont="1" applyBorder="1" applyAlignment="1">
      <alignment horizontal="center" vertical="center" wrapText="1"/>
    </xf>
    <xf numFmtId="0" fontId="8" fillId="0" borderId="14" xfId="2" applyFont="1" applyBorder="1" applyAlignment="1">
      <alignment horizontal="center" vertical="center" wrapText="1"/>
    </xf>
    <xf numFmtId="0" fontId="8" fillId="0" borderId="16" xfId="2" applyFont="1" applyBorder="1" applyAlignment="1">
      <alignment horizontal="center" vertical="center" wrapText="1"/>
    </xf>
    <xf numFmtId="0" fontId="8" fillId="0" borderId="48" xfId="2" applyFont="1" applyBorder="1" applyAlignment="1">
      <alignment horizontal="center" vertical="center"/>
    </xf>
    <xf numFmtId="0" fontId="44" fillId="0" borderId="11" xfId="0" applyFont="1" applyBorder="1" applyAlignment="1">
      <alignment horizontal="left" vertical="center" wrapText="1"/>
    </xf>
    <xf numFmtId="0" fontId="44" fillId="0" borderId="0" xfId="0" applyFont="1" applyAlignment="1">
      <alignment horizontal="left" vertical="center" wrapText="1"/>
    </xf>
    <xf numFmtId="0" fontId="44" fillId="0" borderId="7" xfId="0" applyFont="1" applyBorder="1" applyAlignment="1">
      <alignment horizontal="left" vertical="center" wrapText="1"/>
    </xf>
    <xf numFmtId="0" fontId="38" fillId="0" borderId="17" xfId="0" applyFont="1" applyBorder="1" applyAlignment="1">
      <alignment horizontal="left" vertical="center" wrapText="1"/>
    </xf>
    <xf numFmtId="0" fontId="35" fillId="0" borderId="17" xfId="0" applyFont="1" applyBorder="1" applyAlignment="1">
      <alignment horizontal="left" vertical="center"/>
    </xf>
    <xf numFmtId="0" fontId="44" fillId="0" borderId="11" xfId="0" applyFont="1" applyBorder="1" applyAlignment="1">
      <alignment horizontal="left" vertical="top" wrapText="1"/>
    </xf>
    <xf numFmtId="0" fontId="44" fillId="0" borderId="0" xfId="0" applyFont="1" applyAlignment="1">
      <alignment horizontal="left" vertical="top" wrapText="1"/>
    </xf>
    <xf numFmtId="0" fontId="44" fillId="0" borderId="7" xfId="0" applyFont="1" applyBorder="1" applyAlignment="1">
      <alignment horizontal="left" vertical="top" wrapText="1"/>
    </xf>
    <xf numFmtId="0" fontId="38" fillId="0" borderId="23" xfId="0" applyFont="1" applyBorder="1" applyAlignment="1">
      <alignment horizontal="left" vertical="center" wrapText="1"/>
    </xf>
    <xf numFmtId="0" fontId="38" fillId="0" borderId="21" xfId="0" applyFont="1" applyBorder="1" applyAlignment="1">
      <alignment horizontal="left" vertical="center" wrapText="1"/>
    </xf>
    <xf numFmtId="0" fontId="38" fillId="0" borderId="22" xfId="0" applyFont="1" applyBorder="1" applyAlignment="1">
      <alignment horizontal="left" vertical="center" wrapText="1"/>
    </xf>
    <xf numFmtId="0" fontId="38" fillId="0" borderId="11" xfId="0" applyFont="1" applyBorder="1" applyAlignment="1">
      <alignment horizontal="left" vertical="center" wrapText="1"/>
    </xf>
    <xf numFmtId="0" fontId="38" fillId="0" borderId="0" xfId="0" applyFont="1" applyAlignment="1">
      <alignment horizontal="left" vertical="center" wrapText="1"/>
    </xf>
    <xf numFmtId="0" fontId="38" fillId="0" borderId="7" xfId="0" applyFont="1" applyBorder="1" applyAlignment="1">
      <alignment horizontal="left" vertical="center" wrapText="1"/>
    </xf>
    <xf numFmtId="0" fontId="38" fillId="0" borderId="8" xfId="0" applyFont="1" applyBorder="1" applyAlignment="1">
      <alignment horizontal="left" vertical="center" wrapText="1"/>
    </xf>
    <xf numFmtId="0" fontId="38" fillId="0" borderId="9" xfId="0" applyFont="1" applyBorder="1" applyAlignment="1">
      <alignment horizontal="left" vertical="center" wrapText="1"/>
    </xf>
    <xf numFmtId="0" fontId="38" fillId="0" borderId="19" xfId="0" applyFont="1" applyBorder="1" applyAlignment="1">
      <alignment horizontal="left" vertical="center" wrapText="1"/>
    </xf>
    <xf numFmtId="0" fontId="5" fillId="0" borderId="6" xfId="2" applyFont="1" applyBorder="1" applyAlignment="1">
      <alignment horizontal="center" vertical="top" wrapText="1"/>
    </xf>
    <xf numFmtId="0" fontId="5" fillId="0" borderId="0" xfId="2" applyFont="1" applyAlignment="1">
      <alignment horizontal="center" vertical="top" wrapText="1"/>
    </xf>
    <xf numFmtId="0" fontId="5" fillId="0" borderId="12" xfId="2" applyFont="1" applyBorder="1" applyAlignment="1">
      <alignment horizontal="center" vertical="top" wrapText="1"/>
    </xf>
    <xf numFmtId="0" fontId="8" fillId="0" borderId="13" xfId="2" applyFont="1" applyBorder="1" applyAlignment="1">
      <alignment horizontal="left" vertical="top" wrapText="1"/>
    </xf>
    <xf numFmtId="0" fontId="8" fillId="0" borderId="14" xfId="2" applyFont="1" applyBorder="1" applyAlignment="1">
      <alignment horizontal="left" vertical="top" wrapText="1"/>
    </xf>
    <xf numFmtId="0" fontId="8" fillId="0" borderId="16" xfId="2" applyFont="1" applyBorder="1" applyAlignment="1">
      <alignment horizontal="left" vertical="top" wrapText="1"/>
    </xf>
    <xf numFmtId="0" fontId="8" fillId="0" borderId="1" xfId="2" applyFont="1" applyBorder="1" applyAlignment="1">
      <alignment horizontal="center" vertical="center" wrapText="1"/>
    </xf>
    <xf numFmtId="0" fontId="8" fillId="0" borderId="38" xfId="2" applyFont="1" applyBorder="1" applyAlignment="1">
      <alignment horizontal="center" vertical="center" wrapText="1"/>
    </xf>
    <xf numFmtId="0" fontId="20" fillId="0" borderId="4" xfId="2" applyFont="1" applyBorder="1" applyAlignment="1">
      <alignment vertical="center" wrapText="1"/>
    </xf>
    <xf numFmtId="0" fontId="20" fillId="0" borderId="2" xfId="2" applyFont="1" applyBorder="1" applyAlignment="1">
      <alignment vertical="center" wrapText="1"/>
    </xf>
    <xf numFmtId="0" fontId="20" fillId="0" borderId="5" xfId="2" applyFont="1" applyBorder="1" applyAlignment="1">
      <alignment vertical="center" wrapText="1"/>
    </xf>
    <xf numFmtId="0" fontId="20" fillId="0" borderId="8" xfId="2" applyFont="1" applyBorder="1" applyAlignment="1">
      <alignment vertical="center" wrapText="1"/>
    </xf>
    <xf numFmtId="0" fontId="20" fillId="0" borderId="9" xfId="2" applyFont="1" applyBorder="1" applyAlignment="1">
      <alignment vertical="center" wrapText="1"/>
    </xf>
    <xf numFmtId="0" fontId="20" fillId="0" borderId="10" xfId="2" applyFont="1" applyBorder="1" applyAlignment="1">
      <alignment vertical="center" wrapText="1"/>
    </xf>
    <xf numFmtId="0" fontId="8" fillId="0" borderId="20" xfId="2" applyFont="1" applyBorder="1" applyAlignment="1">
      <alignment horizontal="center" vertical="center" wrapText="1"/>
    </xf>
    <xf numFmtId="0" fontId="8" fillId="0" borderId="21" xfId="2" applyFont="1" applyBorder="1" applyAlignment="1">
      <alignment horizontal="center" vertical="center" wrapText="1"/>
    </xf>
    <xf numFmtId="0" fontId="8" fillId="0" borderId="22" xfId="2" applyFont="1" applyBorder="1" applyAlignment="1">
      <alignment horizontal="center" vertical="center" wrapText="1"/>
    </xf>
    <xf numFmtId="0" fontId="8" fillId="0" borderId="11" xfId="2" applyFont="1" applyBorder="1" applyAlignment="1">
      <alignment vertical="center" wrapText="1"/>
    </xf>
    <xf numFmtId="0" fontId="8" fillId="0" borderId="0" xfId="2" applyFont="1" applyAlignment="1">
      <alignment vertical="center" wrapText="1"/>
    </xf>
    <xf numFmtId="0" fontId="8" fillId="0" borderId="12" xfId="2" applyFont="1" applyBorder="1" applyAlignment="1">
      <alignment vertical="center" wrapText="1"/>
    </xf>
    <xf numFmtId="0" fontId="8" fillId="0" borderId="8" xfId="2" applyFont="1" applyBorder="1" applyAlignment="1">
      <alignment vertical="center" wrapText="1"/>
    </xf>
    <xf numFmtId="0" fontId="8" fillId="0" borderId="9" xfId="2" applyFont="1" applyBorder="1" applyAlignment="1">
      <alignment vertical="center" wrapText="1"/>
    </xf>
    <xf numFmtId="0" fontId="8" fillId="0" borderId="10" xfId="2" applyFont="1" applyBorder="1" applyAlignment="1">
      <alignment vertical="center" wrapText="1"/>
    </xf>
    <xf numFmtId="0" fontId="18" fillId="0" borderId="0" xfId="2" applyFont="1" applyAlignment="1">
      <alignment horizontal="right" vertical="center"/>
    </xf>
    <xf numFmtId="0" fontId="5" fillId="0" borderId="14" xfId="2" applyFont="1" applyBorder="1" applyAlignment="1">
      <alignment horizontal="center"/>
    </xf>
    <xf numFmtId="0" fontId="6" fillId="0" borderId="1" xfId="2" applyFont="1" applyBorder="1" applyAlignment="1">
      <alignment horizontal="center" vertical="center" wrapText="1"/>
    </xf>
    <xf numFmtId="0" fontId="6" fillId="0" borderId="2" xfId="2" applyFont="1" applyBorder="1" applyAlignment="1">
      <alignment horizontal="center" vertical="center" wrapText="1"/>
    </xf>
    <xf numFmtId="0" fontId="6" fillId="0" borderId="5" xfId="2" applyFont="1" applyBorder="1" applyAlignment="1">
      <alignment horizontal="center" vertical="center" wrapText="1"/>
    </xf>
    <xf numFmtId="0" fontId="8" fillId="0" borderId="1" xfId="2" applyFont="1" applyBorder="1" applyAlignment="1">
      <alignment horizontal="left" wrapText="1"/>
    </xf>
    <xf numFmtId="0" fontId="8" fillId="0" borderId="2" xfId="2" applyFont="1" applyBorder="1" applyAlignment="1">
      <alignment horizontal="left" wrapText="1"/>
    </xf>
    <xf numFmtId="0" fontId="8" fillId="0" borderId="5" xfId="2" applyFont="1" applyBorder="1" applyAlignment="1">
      <alignment horizontal="left" wrapText="1"/>
    </xf>
    <xf numFmtId="0" fontId="19" fillId="0" borderId="6" xfId="2" applyFont="1" applyBorder="1" applyAlignment="1">
      <alignment horizontal="center" wrapText="1"/>
    </xf>
    <xf numFmtId="0" fontId="19" fillId="0" borderId="0" xfId="2" applyFont="1" applyAlignment="1">
      <alignment horizontal="center" wrapText="1"/>
    </xf>
    <xf numFmtId="0" fontId="19" fillId="0" borderId="12" xfId="2" applyFont="1" applyBorder="1" applyAlignment="1">
      <alignment horizontal="center" wrapText="1"/>
    </xf>
    <xf numFmtId="0" fontId="8" fillId="0" borderId="6" xfId="2" applyFont="1" applyBorder="1" applyAlignment="1">
      <alignment horizontal="left" vertical="center" wrapText="1"/>
    </xf>
    <xf numFmtId="0" fontId="8" fillId="0" borderId="0" xfId="2" applyFont="1" applyAlignment="1">
      <alignment horizontal="left" vertical="center" wrapText="1"/>
    </xf>
    <xf numFmtId="0" fontId="8" fillId="0" borderId="12" xfId="2" applyFont="1" applyBorder="1" applyAlignment="1">
      <alignment horizontal="left" vertical="center" wrapText="1"/>
    </xf>
    <xf numFmtId="0" fontId="8" fillId="0" borderId="6" xfId="2" applyFont="1" applyBorder="1" applyAlignment="1">
      <alignment horizontal="center"/>
    </xf>
    <xf numFmtId="0" fontId="8" fillId="0" borderId="0" xfId="2" applyFont="1" applyAlignment="1">
      <alignment horizontal="center"/>
    </xf>
    <xf numFmtId="0" fontId="8" fillId="0" borderId="7" xfId="2" applyFont="1" applyBorder="1" applyAlignment="1">
      <alignment horizontal="center"/>
    </xf>
    <xf numFmtId="0" fontId="20" fillId="0" borderId="11" xfId="2" applyFont="1" applyBorder="1" applyAlignment="1">
      <alignment horizontal="left" vertical="center"/>
    </xf>
    <xf numFmtId="0" fontId="20" fillId="0" borderId="0" xfId="2" applyFont="1" applyAlignment="1">
      <alignment horizontal="left" vertical="center"/>
    </xf>
    <xf numFmtId="0" fontId="20" fillId="0" borderId="7" xfId="2" applyFont="1" applyBorder="1" applyAlignment="1">
      <alignment horizontal="left" vertical="center"/>
    </xf>
    <xf numFmtId="0" fontId="8" fillId="0" borderId="11" xfId="2" applyFont="1" applyBorder="1" applyAlignment="1">
      <alignment horizontal="center"/>
    </xf>
    <xf numFmtId="0" fontId="10" fillId="0" borderId="11" xfId="2" applyFont="1" applyBorder="1" applyAlignment="1">
      <alignment horizontal="left"/>
    </xf>
    <xf numFmtId="0" fontId="10" fillId="0" borderId="0" xfId="2" applyFont="1" applyAlignment="1">
      <alignment horizontal="left"/>
    </xf>
    <xf numFmtId="0" fontId="10" fillId="0" borderId="7" xfId="2" applyFont="1" applyBorder="1" applyAlignment="1">
      <alignment horizontal="left"/>
    </xf>
    <xf numFmtId="0" fontId="8" fillId="0" borderId="11" xfId="2" quotePrefix="1" applyFont="1" applyBorder="1" applyAlignment="1">
      <alignment horizontal="center"/>
    </xf>
    <xf numFmtId="0" fontId="8" fillId="0" borderId="7" xfId="2" quotePrefix="1" applyFont="1" applyBorder="1" applyAlignment="1">
      <alignment horizontal="center"/>
    </xf>
    <xf numFmtId="0" fontId="8" fillId="0" borderId="13" xfId="2" applyFont="1" applyBorder="1" applyAlignment="1">
      <alignment horizontal="center" vertical="center" wrapText="1"/>
    </xf>
    <xf numFmtId="0" fontId="8" fillId="0" borderId="15" xfId="2" applyFont="1" applyBorder="1" applyAlignment="1">
      <alignment horizontal="center" vertical="center" wrapText="1"/>
    </xf>
    <xf numFmtId="0" fontId="8" fillId="0" borderId="23" xfId="2" applyFont="1" applyBorder="1" applyAlignment="1">
      <alignment vertical="center" wrapText="1"/>
    </xf>
    <xf numFmtId="0" fontId="8" fillId="0" borderId="21" xfId="2" applyFont="1" applyBorder="1" applyAlignment="1">
      <alignment vertical="center" wrapText="1"/>
    </xf>
    <xf numFmtId="0" fontId="8" fillId="0" borderId="24" xfId="2" applyFont="1" applyBorder="1" applyAlignment="1">
      <alignment vertical="center" wrapText="1"/>
    </xf>
    <xf numFmtId="0" fontId="8" fillId="0" borderId="18" xfId="2" applyFont="1" applyBorder="1" applyAlignment="1">
      <alignment vertical="center" wrapText="1"/>
    </xf>
    <xf numFmtId="0" fontId="8" fillId="0" borderId="14" xfId="2" applyFont="1" applyBorder="1" applyAlignment="1">
      <alignment vertical="center" wrapText="1"/>
    </xf>
    <xf numFmtId="0" fontId="8" fillId="0" borderId="16" xfId="2" applyFont="1" applyBorder="1" applyAlignment="1">
      <alignment vertical="center" wrapText="1"/>
    </xf>
    <xf numFmtId="0" fontId="8" fillId="0" borderId="2" xfId="2" applyFont="1" applyBorder="1" applyAlignment="1">
      <alignment wrapText="1"/>
    </xf>
    <xf numFmtId="0" fontId="8" fillId="0" borderId="3" xfId="2" applyFont="1" applyBorder="1" applyAlignment="1">
      <alignment wrapText="1"/>
    </xf>
    <xf numFmtId="0" fontId="8" fillId="0" borderId="18" xfId="2" applyFont="1" applyBorder="1" applyAlignment="1">
      <alignment wrapText="1"/>
    </xf>
    <xf numFmtId="0" fontId="8" fillId="0" borderId="14" xfId="2" applyFont="1" applyBorder="1" applyAlignment="1">
      <alignment wrapText="1"/>
    </xf>
    <xf numFmtId="0" fontId="8" fillId="0" borderId="15" xfId="2" applyFont="1" applyBorder="1" applyAlignment="1">
      <alignment wrapText="1"/>
    </xf>
    <xf numFmtId="0" fontId="8" fillId="0" borderId="5" xfId="2" applyFont="1" applyBorder="1" applyAlignment="1">
      <alignment horizontal="center" vertical="center" wrapText="1"/>
    </xf>
    <xf numFmtId="0" fontId="10" fillId="0" borderId="11" xfId="2" applyFont="1" applyBorder="1" applyAlignment="1">
      <alignment horizontal="left" vertical="top" wrapText="1"/>
    </xf>
    <xf numFmtId="0" fontId="10" fillId="0" borderId="0" xfId="2" applyFont="1" applyAlignment="1">
      <alignment horizontal="left" vertical="top" wrapText="1"/>
    </xf>
    <xf numFmtId="0" fontId="10" fillId="0" borderId="7" xfId="2" applyFont="1" applyBorder="1" applyAlignment="1">
      <alignment horizontal="left" vertical="top" wrapText="1"/>
    </xf>
    <xf numFmtId="0" fontId="23" fillId="0" borderId="11" xfId="2" applyFont="1" applyBorder="1" applyAlignment="1">
      <alignment horizontal="left"/>
    </xf>
    <xf numFmtId="0" fontId="23" fillId="0" borderId="0" xfId="2" applyFont="1" applyAlignment="1">
      <alignment horizontal="left"/>
    </xf>
    <xf numFmtId="0" fontId="23" fillId="0" borderId="7" xfId="2" applyFont="1" applyBorder="1" applyAlignment="1">
      <alignment horizontal="left"/>
    </xf>
    <xf numFmtId="0" fontId="8" fillId="0" borderId="11" xfId="2" applyFont="1" applyBorder="1" applyAlignment="1">
      <alignment horizontal="left"/>
    </xf>
    <xf numFmtId="0" fontId="8" fillId="0" borderId="0" xfId="2" applyFont="1" applyAlignment="1">
      <alignment horizontal="left"/>
    </xf>
    <xf numFmtId="0" fontId="8" fillId="0" borderId="7" xfId="2" applyFont="1" applyBorder="1" applyAlignment="1">
      <alignment horizontal="left"/>
    </xf>
    <xf numFmtId="0" fontId="23" fillId="0" borderId="11" xfId="2" applyFont="1" applyBorder="1"/>
    <xf numFmtId="0" fontId="23" fillId="0" borderId="0" xfId="2" applyFont="1"/>
    <xf numFmtId="0" fontId="23" fillId="0" borderId="7" xfId="2" applyFont="1" applyBorder="1"/>
    <xf numFmtId="0" fontId="8" fillId="0" borderId="13" xfId="2" applyFont="1" applyBorder="1" applyAlignment="1">
      <alignment horizontal="center"/>
    </xf>
    <xf numFmtId="0" fontId="8" fillId="0" borderId="14" xfId="2" applyFont="1" applyBorder="1" applyAlignment="1">
      <alignment horizontal="center"/>
    </xf>
    <xf numFmtId="0" fontId="8" fillId="0" borderId="15" xfId="2" applyFont="1" applyBorder="1" applyAlignment="1">
      <alignment horizontal="center"/>
    </xf>
    <xf numFmtId="0" fontId="11" fillId="0" borderId="18" xfId="2" applyFont="1" applyBorder="1" applyAlignment="1">
      <alignment horizontal="right" wrapText="1"/>
    </xf>
    <xf numFmtId="0" fontId="11" fillId="0" borderId="14" xfId="2" applyFont="1" applyBorder="1" applyAlignment="1">
      <alignment horizontal="right" wrapText="1"/>
    </xf>
    <xf numFmtId="0" fontId="11" fillId="0" borderId="15" xfId="2" applyFont="1" applyBorder="1" applyAlignment="1">
      <alignment horizontal="right" wrapText="1"/>
    </xf>
    <xf numFmtId="0" fontId="11" fillId="0" borderId="18" xfId="2" quotePrefix="1" applyFont="1" applyBorder="1" applyAlignment="1">
      <alignment horizontal="center"/>
    </xf>
    <xf numFmtId="0" fontId="11" fillId="0" borderId="15" xfId="2" quotePrefix="1" applyFont="1" applyBorder="1" applyAlignment="1">
      <alignment horizontal="center"/>
    </xf>
    <xf numFmtId="0" fontId="5" fillId="0" borderId="48" xfId="2" applyFont="1" applyBorder="1" applyAlignment="1">
      <alignment vertical="center" wrapText="1"/>
    </xf>
    <xf numFmtId="0" fontId="8" fillId="0" borderId="35" xfId="2" applyFont="1" applyBorder="1" applyAlignment="1">
      <alignment vertical="center" wrapText="1"/>
    </xf>
    <xf numFmtId="0" fontId="8" fillId="0" borderId="0" xfId="2" applyFont="1" applyAlignment="1">
      <alignment horizontal="left" wrapText="1"/>
    </xf>
    <xf numFmtId="0" fontId="5" fillId="0" borderId="0" xfId="2" applyFont="1" applyAlignment="1">
      <alignment horizontal="left" wrapText="1"/>
    </xf>
    <xf numFmtId="0" fontId="5" fillId="0" borderId="12" xfId="2" applyFont="1" applyBorder="1" applyAlignment="1">
      <alignment horizontal="left" wrapText="1"/>
    </xf>
    <xf numFmtId="0" fontId="5" fillId="0" borderId="6" xfId="2" applyFont="1" applyBorder="1" applyAlignment="1">
      <alignment horizontal="left" vertical="center" wrapText="1"/>
    </xf>
    <xf numFmtId="0" fontId="4" fillId="0" borderId="11" xfId="2" applyFont="1" applyBorder="1" applyAlignment="1">
      <alignment horizontal="center"/>
    </xf>
    <xf numFmtId="0" fontId="4" fillId="0" borderId="0" xfId="2" applyFont="1" applyAlignment="1">
      <alignment horizontal="center"/>
    </xf>
    <xf numFmtId="0" fontId="20" fillId="0" borderId="0" xfId="2" applyFont="1" applyAlignment="1">
      <alignment horizontal="center"/>
    </xf>
    <xf numFmtId="0" fontId="20" fillId="0" borderId="12" xfId="2" applyFont="1" applyBorder="1" applyAlignment="1">
      <alignment horizontal="center"/>
    </xf>
    <xf numFmtId="0" fontId="8" fillId="0" borderId="6" xfId="2" applyFont="1" applyBorder="1" applyAlignment="1">
      <alignment horizontal="center" vertical="center" wrapText="1"/>
    </xf>
    <xf numFmtId="0" fontId="8" fillId="0" borderId="0" xfId="2" applyFont="1" applyAlignment="1">
      <alignment horizontal="center" vertical="center"/>
    </xf>
    <xf numFmtId="0" fontId="8" fillId="0" borderId="12" xfId="2" applyFont="1" applyBorder="1" applyAlignment="1">
      <alignment horizontal="center" vertical="center"/>
    </xf>
    <xf numFmtId="0" fontId="8" fillId="0" borderId="0" xfId="2" applyFont="1" applyAlignment="1">
      <alignment horizontal="center" wrapText="1"/>
    </xf>
    <xf numFmtId="0" fontId="8" fillId="0" borderId="12" xfId="2" applyFont="1" applyBorder="1" applyAlignment="1">
      <alignment horizontal="center" wrapText="1"/>
    </xf>
    <xf numFmtId="0" fontId="8" fillId="0" borderId="12" xfId="2" applyFont="1" applyBorder="1" applyAlignment="1">
      <alignment horizontal="left"/>
    </xf>
    <xf numFmtId="0" fontId="8" fillId="0" borderId="6" xfId="2" applyFont="1" applyBorder="1" applyAlignment="1">
      <alignment wrapText="1"/>
    </xf>
    <xf numFmtId="0" fontId="26" fillId="0" borderId="9" xfId="2" applyFont="1" applyBorder="1" applyAlignment="1">
      <alignment horizontal="left" vertical="top"/>
    </xf>
    <xf numFmtId="0" fontId="26" fillId="0" borderId="10" xfId="2" applyFont="1" applyBorder="1" applyAlignment="1">
      <alignment horizontal="left" vertical="top"/>
    </xf>
    <xf numFmtId="0" fontId="2" fillId="0" borderId="6" xfId="2" applyFont="1" applyBorder="1" applyAlignment="1">
      <alignment horizontal="left" vertical="center" wrapText="1"/>
    </xf>
    <xf numFmtId="0" fontId="2" fillId="0" borderId="0" xfId="2" applyFont="1" applyAlignment="1">
      <alignment horizontal="left" vertical="center" wrapText="1"/>
    </xf>
    <xf numFmtId="0" fontId="20" fillId="0" borderId="0" xfId="2" applyFont="1" applyAlignment="1">
      <alignment horizontal="center" wrapText="1"/>
    </xf>
    <xf numFmtId="0" fontId="20" fillId="0" borderId="12" xfId="2" applyFont="1" applyBorder="1" applyAlignment="1">
      <alignment horizontal="center" wrapText="1"/>
    </xf>
    <xf numFmtId="0" fontId="8" fillId="0" borderId="12" xfId="2" applyFont="1" applyBorder="1" applyAlignment="1">
      <alignment horizontal="left" wrapText="1"/>
    </xf>
    <xf numFmtId="0" fontId="5" fillId="0" borderId="51" xfId="2" applyFont="1" applyBorder="1" applyAlignment="1">
      <alignment horizontal="center"/>
    </xf>
    <xf numFmtId="0" fontId="5" fillId="0" borderId="52" xfId="2" applyFont="1" applyBorder="1" applyAlignment="1">
      <alignment horizontal="center"/>
    </xf>
    <xf numFmtId="0" fontId="5" fillId="0" borderId="53" xfId="2" applyFont="1" applyBorder="1" applyAlignment="1">
      <alignment horizontal="center"/>
    </xf>
    <xf numFmtId="0" fontId="5" fillId="0" borderId="54" xfId="2" applyFont="1" applyBorder="1" applyAlignment="1">
      <alignment horizontal="center"/>
    </xf>
    <xf numFmtId="0" fontId="8" fillId="0" borderId="56" xfId="2" applyFont="1" applyBorder="1" applyAlignment="1">
      <alignment horizontal="center" vertical="center"/>
    </xf>
    <xf numFmtId="165" fontId="8" fillId="0" borderId="11" xfId="2" applyNumberFormat="1" applyFont="1" applyBorder="1" applyAlignment="1">
      <alignment horizontal="center" vertical="center"/>
    </xf>
    <xf numFmtId="165" fontId="8" fillId="0" borderId="0" xfId="2" applyNumberFormat="1" applyFont="1" applyAlignment="1">
      <alignment horizontal="center" vertical="center"/>
    </xf>
    <xf numFmtId="165" fontId="8" fillId="0" borderId="18" xfId="2" applyNumberFormat="1" applyFont="1" applyBorder="1" applyAlignment="1">
      <alignment horizontal="center" vertical="center"/>
    </xf>
    <xf numFmtId="165" fontId="8" fillId="0" borderId="14" xfId="2" applyNumberFormat="1" applyFont="1" applyBorder="1" applyAlignment="1">
      <alignment horizontal="center" vertical="center"/>
    </xf>
    <xf numFmtId="165" fontId="39" fillId="0" borderId="11" xfId="2" applyNumberFormat="1" applyFont="1" applyBorder="1" applyAlignment="1">
      <alignment horizontal="center"/>
    </xf>
    <xf numFmtId="165" fontId="39" fillId="0" borderId="0" xfId="2" applyNumberFormat="1" applyFont="1" applyAlignment="1">
      <alignment horizontal="center"/>
    </xf>
    <xf numFmtId="165" fontId="39" fillId="0" borderId="7" xfId="2" applyNumberFormat="1" applyFont="1" applyBorder="1" applyAlignment="1">
      <alignment horizontal="center"/>
    </xf>
    <xf numFmtId="165" fontId="39" fillId="0" borderId="18" xfId="2" applyNumberFormat="1" applyFont="1" applyBorder="1" applyAlignment="1">
      <alignment horizontal="center"/>
    </xf>
    <xf numFmtId="165" fontId="39" fillId="0" borderId="14" xfId="2" applyNumberFormat="1" applyFont="1" applyBorder="1" applyAlignment="1">
      <alignment horizontal="center"/>
    </xf>
    <xf numFmtId="165" fontId="39" fillId="0" borderId="15" xfId="2" applyNumberFormat="1" applyFont="1" applyBorder="1" applyAlignment="1">
      <alignment horizontal="center"/>
    </xf>
    <xf numFmtId="0" fontId="8" fillId="0" borderId="8" xfId="2" applyFont="1" applyBorder="1" applyAlignment="1">
      <alignment horizontal="center"/>
    </xf>
    <xf numFmtId="0" fontId="8" fillId="0" borderId="10" xfId="2" applyFont="1" applyBorder="1" applyAlignment="1">
      <alignment horizontal="center"/>
    </xf>
    <xf numFmtId="0" fontId="8" fillId="0" borderId="51" xfId="2" applyFont="1" applyBorder="1" applyAlignment="1">
      <alignment horizontal="center" vertical="center"/>
    </xf>
    <xf numFmtId="0" fontId="8" fillId="0" borderId="57" xfId="2" applyFont="1" applyBorder="1" applyAlignment="1">
      <alignment horizontal="center" vertical="center"/>
    </xf>
    <xf numFmtId="165" fontId="31" fillId="0" borderId="23" xfId="0" quotePrefix="1" applyNumberFormat="1" applyFont="1" applyBorder="1" applyAlignment="1">
      <alignment horizontal="center"/>
    </xf>
    <xf numFmtId="165" fontId="31" fillId="0" borderId="21" xfId="0" quotePrefix="1" applyNumberFormat="1" applyFont="1" applyBorder="1" applyAlignment="1">
      <alignment horizontal="center"/>
    </xf>
    <xf numFmtId="165" fontId="31" fillId="0" borderId="22" xfId="0" quotePrefix="1" applyNumberFormat="1" applyFont="1" applyBorder="1" applyAlignment="1">
      <alignment horizontal="center"/>
    </xf>
    <xf numFmtId="165" fontId="31" fillId="0" borderId="11" xfId="0" quotePrefix="1" applyNumberFormat="1" applyFont="1" applyBorder="1" applyAlignment="1">
      <alignment horizontal="center"/>
    </xf>
    <xf numFmtId="165" fontId="31" fillId="0" borderId="0" xfId="0" quotePrefix="1" applyNumberFormat="1" applyFont="1" applyAlignment="1">
      <alignment horizontal="center"/>
    </xf>
    <xf numFmtId="165" fontId="31" fillId="0" borderId="7" xfId="0" quotePrefix="1" applyNumberFormat="1" applyFont="1" applyBorder="1" applyAlignment="1">
      <alignment horizontal="center"/>
    </xf>
    <xf numFmtId="0" fontId="39" fillId="0" borderId="11" xfId="2" quotePrefix="1" applyFont="1" applyBorder="1" applyAlignment="1">
      <alignment horizontal="left" wrapText="1"/>
    </xf>
    <xf numFmtId="0" fontId="39" fillId="0" borderId="0" xfId="2" quotePrefix="1" applyFont="1" applyAlignment="1">
      <alignment horizontal="left" wrapText="1"/>
    </xf>
    <xf numFmtId="0" fontId="39" fillId="0" borderId="12" xfId="2" quotePrefix="1" applyFont="1" applyBorder="1" applyAlignment="1">
      <alignment horizontal="left" wrapText="1"/>
    </xf>
    <xf numFmtId="165" fontId="39" fillId="0" borderId="11" xfId="2" applyNumberFormat="1" applyFont="1" applyBorder="1" applyAlignment="1">
      <alignment horizontal="center" wrapText="1"/>
    </xf>
    <xf numFmtId="165" fontId="39" fillId="0" borderId="0" xfId="2" applyNumberFormat="1" applyFont="1" applyAlignment="1">
      <alignment horizontal="center" wrapText="1"/>
    </xf>
    <xf numFmtId="165" fontId="39" fillId="0" borderId="7" xfId="2" applyNumberFormat="1" applyFont="1" applyBorder="1" applyAlignment="1">
      <alignment horizontal="center" wrapText="1"/>
    </xf>
  </cellXfs>
  <cellStyles count="5">
    <cellStyle name="Comma" xfId="1" builtinId="3"/>
    <cellStyle name="Comma 2" xfId="3"/>
    <cellStyle name="Normal" xfId="0" builtinId="0"/>
    <cellStyle name="Normal 2" xfId="2"/>
    <cellStyle name="Normal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7</xdr:col>
      <xdr:colOff>184467</xdr:colOff>
      <xdr:row>3</xdr:row>
      <xdr:rowOff>47307</xdr:rowOff>
    </xdr:from>
    <xdr:to>
      <xdr:col>19</xdr:col>
      <xdr:colOff>178768</xdr:colOff>
      <xdr:row>3</xdr:row>
      <xdr:rowOff>47307</xdr:rowOff>
    </xdr:to>
    <xdr:cxnSp macro="">
      <xdr:nvCxnSpPr>
        <xdr:cNvPr id="2" name="Straight Connector 1">
          <a:extLst>
            <a:ext uri="{FF2B5EF4-FFF2-40B4-BE49-F238E27FC236}">
              <a16:creationId xmlns:a16="http://schemas.microsoft.com/office/drawing/2014/main" xmlns="" id="{00000000-0008-0000-0100-000002000000}"/>
            </a:ext>
          </a:extLst>
        </xdr:cNvPr>
        <xdr:cNvCxnSpPr/>
      </xdr:nvCxnSpPr>
      <xdr:spPr>
        <a:xfrm>
          <a:off x="1414780" y="745807"/>
          <a:ext cx="252636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504825</xdr:colOff>
      <xdr:row>25</xdr:row>
      <xdr:rowOff>0</xdr:rowOff>
    </xdr:from>
    <xdr:to>
      <xdr:col>8</xdr:col>
      <xdr:colOff>504825</xdr:colOff>
      <xdr:row>27</xdr:row>
      <xdr:rowOff>38100</xdr:rowOff>
    </xdr:to>
    <xdr:sp macro="" textlink="">
      <xdr:nvSpPr>
        <xdr:cNvPr id="2" name="Line 1">
          <a:extLst>
            <a:ext uri="{FF2B5EF4-FFF2-40B4-BE49-F238E27FC236}">
              <a16:creationId xmlns:a16="http://schemas.microsoft.com/office/drawing/2014/main" xmlns="" id="{00000000-0008-0000-0200-000002000000}"/>
            </a:ext>
          </a:extLst>
        </xdr:cNvPr>
        <xdr:cNvSpPr>
          <a:spLocks noChangeShapeType="1"/>
        </xdr:cNvSpPr>
      </xdr:nvSpPr>
      <xdr:spPr bwMode="auto">
        <a:xfrm>
          <a:off x="5884545" y="5501640"/>
          <a:ext cx="0" cy="3276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19050</xdr:colOff>
      <xdr:row>27</xdr:row>
      <xdr:rowOff>28575</xdr:rowOff>
    </xdr:from>
    <xdr:to>
      <xdr:col>8</xdr:col>
      <xdr:colOff>495300</xdr:colOff>
      <xdr:row>27</xdr:row>
      <xdr:rowOff>28575</xdr:rowOff>
    </xdr:to>
    <xdr:sp macro="" textlink="">
      <xdr:nvSpPr>
        <xdr:cNvPr id="3" name="Line 2">
          <a:extLst>
            <a:ext uri="{FF2B5EF4-FFF2-40B4-BE49-F238E27FC236}">
              <a16:creationId xmlns:a16="http://schemas.microsoft.com/office/drawing/2014/main" xmlns="" id="{00000000-0008-0000-0200-000003000000}"/>
            </a:ext>
          </a:extLst>
        </xdr:cNvPr>
        <xdr:cNvSpPr>
          <a:spLocks noChangeShapeType="1"/>
        </xdr:cNvSpPr>
      </xdr:nvSpPr>
      <xdr:spPr bwMode="auto">
        <a:xfrm>
          <a:off x="5398770" y="5819775"/>
          <a:ext cx="476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504825</xdr:colOff>
      <xdr:row>25</xdr:row>
      <xdr:rowOff>0</xdr:rowOff>
    </xdr:from>
    <xdr:to>
      <xdr:col>8</xdr:col>
      <xdr:colOff>504825</xdr:colOff>
      <xdr:row>27</xdr:row>
      <xdr:rowOff>38100</xdr:rowOff>
    </xdr:to>
    <xdr:sp macro="" textlink="">
      <xdr:nvSpPr>
        <xdr:cNvPr id="2" name="Line 1">
          <a:extLst>
            <a:ext uri="{FF2B5EF4-FFF2-40B4-BE49-F238E27FC236}">
              <a16:creationId xmlns:a16="http://schemas.microsoft.com/office/drawing/2014/main" xmlns="" id="{00000000-0008-0000-0200-000002000000}"/>
            </a:ext>
          </a:extLst>
        </xdr:cNvPr>
        <xdr:cNvSpPr>
          <a:spLocks noChangeShapeType="1"/>
        </xdr:cNvSpPr>
      </xdr:nvSpPr>
      <xdr:spPr bwMode="auto">
        <a:xfrm>
          <a:off x="5029200" y="5219700"/>
          <a:ext cx="0" cy="3333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19050</xdr:colOff>
      <xdr:row>27</xdr:row>
      <xdr:rowOff>28575</xdr:rowOff>
    </xdr:from>
    <xdr:to>
      <xdr:col>8</xdr:col>
      <xdr:colOff>495300</xdr:colOff>
      <xdr:row>27</xdr:row>
      <xdr:rowOff>28575</xdr:rowOff>
    </xdr:to>
    <xdr:sp macro="" textlink="">
      <xdr:nvSpPr>
        <xdr:cNvPr id="3" name="Line 2">
          <a:extLst>
            <a:ext uri="{FF2B5EF4-FFF2-40B4-BE49-F238E27FC236}">
              <a16:creationId xmlns:a16="http://schemas.microsoft.com/office/drawing/2014/main" xmlns="" id="{00000000-0008-0000-0200-000003000000}"/>
            </a:ext>
          </a:extLst>
        </xdr:cNvPr>
        <xdr:cNvSpPr>
          <a:spLocks noChangeShapeType="1"/>
        </xdr:cNvSpPr>
      </xdr:nvSpPr>
      <xdr:spPr bwMode="auto">
        <a:xfrm>
          <a:off x="4543425" y="5543550"/>
          <a:ext cx="476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181098</xdr:colOff>
      <xdr:row>0</xdr:row>
      <xdr:rowOff>109904</xdr:rowOff>
    </xdr:from>
    <xdr:to>
      <xdr:col>3</xdr:col>
      <xdr:colOff>256442</xdr:colOff>
      <xdr:row>3</xdr:row>
      <xdr:rowOff>102577</xdr:rowOff>
    </xdr:to>
    <xdr:pic>
      <xdr:nvPicPr>
        <xdr:cNvPr id="2" name="Picture 1" descr="BISU Logo">
          <a:extLst>
            <a:ext uri="{FF2B5EF4-FFF2-40B4-BE49-F238E27FC236}">
              <a16:creationId xmlns:a16="http://schemas.microsoft.com/office/drawing/2014/main" xmlns=""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0298" y="109904"/>
          <a:ext cx="684944" cy="621323"/>
        </a:xfrm>
        <a:prstGeom prst="rect">
          <a:avLst/>
        </a:prstGeom>
        <a:noFill/>
        <a:ln>
          <a:noFill/>
        </a:ln>
      </xdr:spPr>
    </xdr:pic>
    <xdr:clientData/>
  </xdr:twoCellAnchor>
  <xdr:twoCellAnchor editAs="oneCell">
    <xdr:from>
      <xdr:col>1</xdr:col>
      <xdr:colOff>476251</xdr:colOff>
      <xdr:row>28</xdr:row>
      <xdr:rowOff>7938</xdr:rowOff>
    </xdr:from>
    <xdr:to>
      <xdr:col>3</xdr:col>
      <xdr:colOff>7327</xdr:colOff>
      <xdr:row>31</xdr:row>
      <xdr:rowOff>65944</xdr:rowOff>
    </xdr:to>
    <xdr:pic>
      <xdr:nvPicPr>
        <xdr:cNvPr id="3" name="Picture 2" descr="BISU Logo">
          <a:extLst>
            <a:ext uri="{FF2B5EF4-FFF2-40B4-BE49-F238E27FC236}">
              <a16:creationId xmlns:a16="http://schemas.microsoft.com/office/drawing/2014/main" xmlns=""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5851" y="6122988"/>
          <a:ext cx="750276" cy="686656"/>
        </a:xfrm>
        <a:prstGeom prst="rect">
          <a:avLst/>
        </a:prstGeom>
        <a:noFill/>
        <a:ln>
          <a:noFill/>
        </a:ln>
      </xdr:spPr>
    </xdr:pic>
    <xdr:clientData/>
  </xdr:twoCellAnchor>
  <xdr:twoCellAnchor>
    <xdr:from>
      <xdr:col>0</xdr:col>
      <xdr:colOff>7327</xdr:colOff>
      <xdr:row>27</xdr:row>
      <xdr:rowOff>102577</xdr:rowOff>
    </xdr:from>
    <xdr:to>
      <xdr:col>9</xdr:col>
      <xdr:colOff>7327</xdr:colOff>
      <xdr:row>27</xdr:row>
      <xdr:rowOff>109904</xdr:rowOff>
    </xdr:to>
    <xdr:cxnSp macro="">
      <xdr:nvCxnSpPr>
        <xdr:cNvPr id="4" name="Straight Connector 3">
          <a:extLst>
            <a:ext uri="{FF2B5EF4-FFF2-40B4-BE49-F238E27FC236}">
              <a16:creationId xmlns:a16="http://schemas.microsoft.com/office/drawing/2014/main" xmlns="" id="{00000000-0008-0000-0400-000004000000}"/>
            </a:ext>
          </a:extLst>
        </xdr:cNvPr>
        <xdr:cNvCxnSpPr/>
      </xdr:nvCxnSpPr>
      <xdr:spPr>
        <a:xfrm flipV="1">
          <a:off x="7327" y="6008077"/>
          <a:ext cx="5857875"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504825</xdr:colOff>
      <xdr:row>25</xdr:row>
      <xdr:rowOff>0</xdr:rowOff>
    </xdr:from>
    <xdr:to>
      <xdr:col>8</xdr:col>
      <xdr:colOff>504825</xdr:colOff>
      <xdr:row>27</xdr:row>
      <xdr:rowOff>38100</xdr:rowOff>
    </xdr:to>
    <xdr:sp macro="" textlink="">
      <xdr:nvSpPr>
        <xdr:cNvPr id="2" name="Line 1">
          <a:extLst>
            <a:ext uri="{FF2B5EF4-FFF2-40B4-BE49-F238E27FC236}">
              <a16:creationId xmlns:a16="http://schemas.microsoft.com/office/drawing/2014/main" xmlns="" id="{00000000-0008-0000-0200-000002000000}"/>
            </a:ext>
          </a:extLst>
        </xdr:cNvPr>
        <xdr:cNvSpPr>
          <a:spLocks noChangeShapeType="1"/>
        </xdr:cNvSpPr>
      </xdr:nvSpPr>
      <xdr:spPr bwMode="auto">
        <a:xfrm>
          <a:off x="5884545" y="5501640"/>
          <a:ext cx="0" cy="3276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19050</xdr:colOff>
      <xdr:row>27</xdr:row>
      <xdr:rowOff>28575</xdr:rowOff>
    </xdr:from>
    <xdr:to>
      <xdr:col>8</xdr:col>
      <xdr:colOff>495300</xdr:colOff>
      <xdr:row>27</xdr:row>
      <xdr:rowOff>28575</xdr:rowOff>
    </xdr:to>
    <xdr:sp macro="" textlink="">
      <xdr:nvSpPr>
        <xdr:cNvPr id="3" name="Line 2">
          <a:extLst>
            <a:ext uri="{FF2B5EF4-FFF2-40B4-BE49-F238E27FC236}">
              <a16:creationId xmlns:a16="http://schemas.microsoft.com/office/drawing/2014/main" xmlns="" id="{00000000-0008-0000-0200-000003000000}"/>
            </a:ext>
          </a:extLst>
        </xdr:cNvPr>
        <xdr:cNvSpPr>
          <a:spLocks noChangeShapeType="1"/>
        </xdr:cNvSpPr>
      </xdr:nvSpPr>
      <xdr:spPr bwMode="auto">
        <a:xfrm>
          <a:off x="5398770" y="5819775"/>
          <a:ext cx="476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379218</xdr:colOff>
      <xdr:row>0</xdr:row>
      <xdr:rowOff>48944</xdr:rowOff>
    </xdr:from>
    <xdr:to>
      <xdr:col>3</xdr:col>
      <xdr:colOff>281940</xdr:colOff>
      <xdr:row>3</xdr:row>
      <xdr:rowOff>41617</xdr:rowOff>
    </xdr:to>
    <xdr:pic>
      <xdr:nvPicPr>
        <xdr:cNvPr id="2" name="Picture 1" descr="BISU Logo">
          <a:extLst>
            <a:ext uri="{FF2B5EF4-FFF2-40B4-BE49-F238E27FC236}">
              <a16:creationId xmlns:a16="http://schemas.microsoft.com/office/drawing/2014/main" xmlns="" id="{0B3261E2-8CB7-48C9-859B-20B53049B98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418" y="48944"/>
          <a:ext cx="512322" cy="518453"/>
        </a:xfrm>
        <a:prstGeom prst="rect">
          <a:avLst/>
        </a:prstGeom>
        <a:noFill/>
        <a:ln>
          <a:noFill/>
        </a:ln>
      </xdr:spPr>
    </xdr:pic>
    <xdr:clientData/>
  </xdr:twoCellAnchor>
  <xdr:twoCellAnchor editAs="oneCell">
    <xdr:from>
      <xdr:col>2</xdr:col>
      <xdr:colOff>392431</xdr:colOff>
      <xdr:row>28</xdr:row>
      <xdr:rowOff>61278</xdr:rowOff>
    </xdr:from>
    <xdr:to>
      <xdr:col>3</xdr:col>
      <xdr:colOff>342900</xdr:colOff>
      <xdr:row>31</xdr:row>
      <xdr:rowOff>99060</xdr:rowOff>
    </xdr:to>
    <xdr:pic>
      <xdr:nvPicPr>
        <xdr:cNvPr id="3" name="Picture 2" descr="BISU Logo">
          <a:extLst>
            <a:ext uri="{FF2B5EF4-FFF2-40B4-BE49-F238E27FC236}">
              <a16:creationId xmlns:a16="http://schemas.microsoft.com/office/drawing/2014/main" xmlns="" id="{AA04A267-5F61-47B3-98CB-3C46D2AB59E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1631" y="5494338"/>
          <a:ext cx="560069" cy="563562"/>
        </a:xfrm>
        <a:prstGeom prst="rect">
          <a:avLst/>
        </a:prstGeom>
        <a:noFill/>
        <a:ln>
          <a:noFill/>
        </a:ln>
      </xdr:spPr>
    </xdr:pic>
    <xdr:clientData/>
  </xdr:twoCellAnchor>
  <xdr:twoCellAnchor>
    <xdr:from>
      <xdr:col>0</xdr:col>
      <xdr:colOff>7327</xdr:colOff>
      <xdr:row>27</xdr:row>
      <xdr:rowOff>102577</xdr:rowOff>
    </xdr:from>
    <xdr:to>
      <xdr:col>9</xdr:col>
      <xdr:colOff>7327</xdr:colOff>
      <xdr:row>27</xdr:row>
      <xdr:rowOff>109904</xdr:rowOff>
    </xdr:to>
    <xdr:cxnSp macro="">
      <xdr:nvCxnSpPr>
        <xdr:cNvPr id="4" name="Straight Connector 3">
          <a:extLst>
            <a:ext uri="{FF2B5EF4-FFF2-40B4-BE49-F238E27FC236}">
              <a16:creationId xmlns:a16="http://schemas.microsoft.com/office/drawing/2014/main" xmlns="" id="{41B52859-41C4-42F3-A682-B8967DE80CD6}"/>
            </a:ext>
          </a:extLst>
        </xdr:cNvPr>
        <xdr:cNvCxnSpPr/>
      </xdr:nvCxnSpPr>
      <xdr:spPr>
        <a:xfrm flipV="1">
          <a:off x="7327" y="5360377"/>
          <a:ext cx="5905500"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379218</xdr:colOff>
      <xdr:row>0</xdr:row>
      <xdr:rowOff>48944</xdr:rowOff>
    </xdr:from>
    <xdr:to>
      <xdr:col>3</xdr:col>
      <xdr:colOff>281940</xdr:colOff>
      <xdr:row>3</xdr:row>
      <xdr:rowOff>41617</xdr:rowOff>
    </xdr:to>
    <xdr:pic>
      <xdr:nvPicPr>
        <xdr:cNvPr id="2" name="Picture 1" descr="BISU Logo">
          <a:extLst>
            <a:ext uri="{FF2B5EF4-FFF2-40B4-BE49-F238E27FC236}">
              <a16:creationId xmlns:a16="http://schemas.microsoft.com/office/drawing/2014/main" xmlns="" id="{0B3261E2-8CB7-48C9-859B-20B53049B98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418" y="48944"/>
          <a:ext cx="512322" cy="518453"/>
        </a:xfrm>
        <a:prstGeom prst="rect">
          <a:avLst/>
        </a:prstGeom>
        <a:noFill/>
        <a:ln>
          <a:noFill/>
        </a:ln>
      </xdr:spPr>
    </xdr:pic>
    <xdr:clientData/>
  </xdr:twoCellAnchor>
  <xdr:twoCellAnchor editAs="oneCell">
    <xdr:from>
      <xdr:col>2</xdr:col>
      <xdr:colOff>392431</xdr:colOff>
      <xdr:row>28</xdr:row>
      <xdr:rowOff>61278</xdr:rowOff>
    </xdr:from>
    <xdr:to>
      <xdr:col>3</xdr:col>
      <xdr:colOff>342900</xdr:colOff>
      <xdr:row>31</xdr:row>
      <xdr:rowOff>99060</xdr:rowOff>
    </xdr:to>
    <xdr:pic>
      <xdr:nvPicPr>
        <xdr:cNvPr id="3" name="Picture 2" descr="BISU Logo">
          <a:extLst>
            <a:ext uri="{FF2B5EF4-FFF2-40B4-BE49-F238E27FC236}">
              <a16:creationId xmlns:a16="http://schemas.microsoft.com/office/drawing/2014/main" xmlns="" id="{AA04A267-5F61-47B3-98CB-3C46D2AB59E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1631" y="5494338"/>
          <a:ext cx="560069" cy="563562"/>
        </a:xfrm>
        <a:prstGeom prst="rect">
          <a:avLst/>
        </a:prstGeom>
        <a:noFill/>
        <a:ln>
          <a:noFill/>
        </a:ln>
      </xdr:spPr>
    </xdr:pic>
    <xdr:clientData/>
  </xdr:twoCellAnchor>
  <xdr:twoCellAnchor>
    <xdr:from>
      <xdr:col>0</xdr:col>
      <xdr:colOff>7327</xdr:colOff>
      <xdr:row>27</xdr:row>
      <xdr:rowOff>102577</xdr:rowOff>
    </xdr:from>
    <xdr:to>
      <xdr:col>9</xdr:col>
      <xdr:colOff>7327</xdr:colOff>
      <xdr:row>27</xdr:row>
      <xdr:rowOff>109904</xdr:rowOff>
    </xdr:to>
    <xdr:cxnSp macro="">
      <xdr:nvCxnSpPr>
        <xdr:cNvPr id="4" name="Straight Connector 3">
          <a:extLst>
            <a:ext uri="{FF2B5EF4-FFF2-40B4-BE49-F238E27FC236}">
              <a16:creationId xmlns:a16="http://schemas.microsoft.com/office/drawing/2014/main" xmlns="" id="{41B52859-41C4-42F3-A682-B8967DE80CD6}"/>
            </a:ext>
          </a:extLst>
        </xdr:cNvPr>
        <xdr:cNvCxnSpPr/>
      </xdr:nvCxnSpPr>
      <xdr:spPr>
        <a:xfrm flipV="1">
          <a:off x="7327" y="5360377"/>
          <a:ext cx="6316980"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181098</xdr:colOff>
      <xdr:row>0</xdr:row>
      <xdr:rowOff>109904</xdr:rowOff>
    </xdr:from>
    <xdr:to>
      <xdr:col>3</xdr:col>
      <xdr:colOff>256442</xdr:colOff>
      <xdr:row>3</xdr:row>
      <xdr:rowOff>102577</xdr:rowOff>
    </xdr:to>
    <xdr:pic>
      <xdr:nvPicPr>
        <xdr:cNvPr id="2" name="Picture 1" descr="BISU Logo">
          <a:extLst>
            <a:ext uri="{FF2B5EF4-FFF2-40B4-BE49-F238E27FC236}">
              <a16:creationId xmlns:a16="http://schemas.microsoft.com/office/drawing/2014/main" xmlns=""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0298" y="109904"/>
          <a:ext cx="684944" cy="518453"/>
        </a:xfrm>
        <a:prstGeom prst="rect">
          <a:avLst/>
        </a:prstGeom>
        <a:noFill/>
        <a:ln>
          <a:noFill/>
        </a:ln>
      </xdr:spPr>
    </xdr:pic>
    <xdr:clientData/>
  </xdr:twoCellAnchor>
  <xdr:twoCellAnchor editAs="oneCell">
    <xdr:from>
      <xdr:col>1</xdr:col>
      <xdr:colOff>476251</xdr:colOff>
      <xdr:row>28</xdr:row>
      <xdr:rowOff>7938</xdr:rowOff>
    </xdr:from>
    <xdr:to>
      <xdr:col>3</xdr:col>
      <xdr:colOff>7327</xdr:colOff>
      <xdr:row>31</xdr:row>
      <xdr:rowOff>65944</xdr:rowOff>
    </xdr:to>
    <xdr:pic>
      <xdr:nvPicPr>
        <xdr:cNvPr id="3" name="Picture 2" descr="BISU Logo">
          <a:extLst>
            <a:ext uri="{FF2B5EF4-FFF2-40B4-BE49-F238E27FC236}">
              <a16:creationId xmlns:a16="http://schemas.microsoft.com/office/drawing/2014/main" xmlns=""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5851" y="5440998"/>
          <a:ext cx="750276" cy="583786"/>
        </a:xfrm>
        <a:prstGeom prst="rect">
          <a:avLst/>
        </a:prstGeom>
        <a:noFill/>
        <a:ln>
          <a:noFill/>
        </a:ln>
      </xdr:spPr>
    </xdr:pic>
    <xdr:clientData/>
  </xdr:twoCellAnchor>
  <xdr:twoCellAnchor>
    <xdr:from>
      <xdr:col>0</xdr:col>
      <xdr:colOff>7327</xdr:colOff>
      <xdr:row>27</xdr:row>
      <xdr:rowOff>102577</xdr:rowOff>
    </xdr:from>
    <xdr:to>
      <xdr:col>9</xdr:col>
      <xdr:colOff>7327</xdr:colOff>
      <xdr:row>27</xdr:row>
      <xdr:rowOff>109904</xdr:rowOff>
    </xdr:to>
    <xdr:cxnSp macro="">
      <xdr:nvCxnSpPr>
        <xdr:cNvPr id="4" name="Straight Connector 3">
          <a:extLst>
            <a:ext uri="{FF2B5EF4-FFF2-40B4-BE49-F238E27FC236}">
              <a16:creationId xmlns:a16="http://schemas.microsoft.com/office/drawing/2014/main" xmlns="" id="{00000000-0008-0000-0500-000005000000}"/>
            </a:ext>
          </a:extLst>
        </xdr:cNvPr>
        <xdr:cNvCxnSpPr/>
      </xdr:nvCxnSpPr>
      <xdr:spPr>
        <a:xfrm flipV="1">
          <a:off x="7327" y="5360377"/>
          <a:ext cx="5905500"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181098</xdr:colOff>
      <xdr:row>0</xdr:row>
      <xdr:rowOff>109904</xdr:rowOff>
    </xdr:from>
    <xdr:to>
      <xdr:col>3</xdr:col>
      <xdr:colOff>256442</xdr:colOff>
      <xdr:row>3</xdr:row>
      <xdr:rowOff>102577</xdr:rowOff>
    </xdr:to>
    <xdr:pic>
      <xdr:nvPicPr>
        <xdr:cNvPr id="2" name="Picture 1" descr="BISU Logo">
          <a:extLst>
            <a:ext uri="{FF2B5EF4-FFF2-40B4-BE49-F238E27FC236}">
              <a16:creationId xmlns:a16="http://schemas.microsoft.com/office/drawing/2014/main" xmlns="" id="{0B3261E2-8CB7-48C9-859B-20B53049B98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0298" y="109904"/>
          <a:ext cx="684944" cy="518453"/>
        </a:xfrm>
        <a:prstGeom prst="rect">
          <a:avLst/>
        </a:prstGeom>
        <a:noFill/>
        <a:ln>
          <a:noFill/>
        </a:ln>
      </xdr:spPr>
    </xdr:pic>
    <xdr:clientData/>
  </xdr:twoCellAnchor>
  <xdr:twoCellAnchor editAs="oneCell">
    <xdr:from>
      <xdr:col>1</xdr:col>
      <xdr:colOff>476251</xdr:colOff>
      <xdr:row>28</xdr:row>
      <xdr:rowOff>7938</xdr:rowOff>
    </xdr:from>
    <xdr:to>
      <xdr:col>3</xdr:col>
      <xdr:colOff>7327</xdr:colOff>
      <xdr:row>31</xdr:row>
      <xdr:rowOff>65944</xdr:rowOff>
    </xdr:to>
    <xdr:pic>
      <xdr:nvPicPr>
        <xdr:cNvPr id="3" name="Picture 2" descr="BISU Logo">
          <a:extLst>
            <a:ext uri="{FF2B5EF4-FFF2-40B4-BE49-F238E27FC236}">
              <a16:creationId xmlns:a16="http://schemas.microsoft.com/office/drawing/2014/main" xmlns="" id="{AA04A267-5F61-47B3-98CB-3C46D2AB59E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5851" y="5440998"/>
          <a:ext cx="750276" cy="583786"/>
        </a:xfrm>
        <a:prstGeom prst="rect">
          <a:avLst/>
        </a:prstGeom>
        <a:noFill/>
        <a:ln>
          <a:noFill/>
        </a:ln>
      </xdr:spPr>
    </xdr:pic>
    <xdr:clientData/>
  </xdr:twoCellAnchor>
  <xdr:twoCellAnchor>
    <xdr:from>
      <xdr:col>0</xdr:col>
      <xdr:colOff>7327</xdr:colOff>
      <xdr:row>27</xdr:row>
      <xdr:rowOff>102577</xdr:rowOff>
    </xdr:from>
    <xdr:to>
      <xdr:col>9</xdr:col>
      <xdr:colOff>7327</xdr:colOff>
      <xdr:row>27</xdr:row>
      <xdr:rowOff>109904</xdr:rowOff>
    </xdr:to>
    <xdr:cxnSp macro="">
      <xdr:nvCxnSpPr>
        <xdr:cNvPr id="4" name="Straight Connector 3">
          <a:extLst>
            <a:ext uri="{FF2B5EF4-FFF2-40B4-BE49-F238E27FC236}">
              <a16:creationId xmlns:a16="http://schemas.microsoft.com/office/drawing/2014/main" xmlns="" id="{41B52859-41C4-42F3-A682-B8967DE80CD6}"/>
            </a:ext>
          </a:extLst>
        </xdr:cNvPr>
        <xdr:cNvCxnSpPr/>
      </xdr:nvCxnSpPr>
      <xdr:spPr>
        <a:xfrm flipV="1">
          <a:off x="7327" y="5360377"/>
          <a:ext cx="5905500"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561975</xdr:colOff>
      <xdr:row>34</xdr:row>
      <xdr:rowOff>0</xdr:rowOff>
    </xdr:from>
    <xdr:to>
      <xdr:col>8</xdr:col>
      <xdr:colOff>561975</xdr:colOff>
      <xdr:row>36</xdr:row>
      <xdr:rowOff>9525</xdr:rowOff>
    </xdr:to>
    <xdr:sp macro="" textlink="">
      <xdr:nvSpPr>
        <xdr:cNvPr id="2" name="Line 1">
          <a:extLst>
            <a:ext uri="{FF2B5EF4-FFF2-40B4-BE49-F238E27FC236}">
              <a16:creationId xmlns:a16="http://schemas.microsoft.com/office/drawing/2014/main" xmlns="" id="{00000000-0008-0000-0700-000002000000}"/>
            </a:ext>
          </a:extLst>
        </xdr:cNvPr>
        <xdr:cNvSpPr>
          <a:spLocks noChangeShapeType="1"/>
        </xdr:cNvSpPr>
      </xdr:nvSpPr>
      <xdr:spPr bwMode="auto">
        <a:xfrm>
          <a:off x="4791075" y="6400800"/>
          <a:ext cx="0"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36</xdr:row>
      <xdr:rowOff>0</xdr:rowOff>
    </xdr:from>
    <xdr:to>
      <xdr:col>8</xdr:col>
      <xdr:colOff>485775</xdr:colOff>
      <xdr:row>36</xdr:row>
      <xdr:rowOff>0</xdr:rowOff>
    </xdr:to>
    <xdr:sp macro="" textlink="">
      <xdr:nvSpPr>
        <xdr:cNvPr id="3" name="Line 2">
          <a:extLst>
            <a:ext uri="{FF2B5EF4-FFF2-40B4-BE49-F238E27FC236}">
              <a16:creationId xmlns:a16="http://schemas.microsoft.com/office/drawing/2014/main" xmlns="" id="{00000000-0008-0000-0700-000003000000}"/>
            </a:ext>
          </a:extLst>
        </xdr:cNvPr>
        <xdr:cNvSpPr>
          <a:spLocks noChangeShapeType="1"/>
        </xdr:cNvSpPr>
      </xdr:nvSpPr>
      <xdr:spPr bwMode="auto">
        <a:xfrm>
          <a:off x="4305300" y="6696075"/>
          <a:ext cx="485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R55"/>
  <sheetViews>
    <sheetView tabSelected="1" showWhiteSpace="0" topLeftCell="A13" zoomScale="93" zoomScaleNormal="100" zoomScaleSheetLayoutView="140" workbookViewId="0">
      <selection activeCell="D14" sqref="D14"/>
    </sheetView>
  </sheetViews>
  <sheetFormatPr defaultRowHeight="13.2"/>
  <cols>
    <col min="1" max="1" width="14.5546875" style="119" customWidth="1"/>
    <col min="2" max="2" width="9.88671875" customWidth="1"/>
    <col min="3" max="3" width="19.33203125" customWidth="1"/>
    <col min="4" max="4" width="9.109375" customWidth="1"/>
    <col min="5" max="5" width="8.88671875" customWidth="1"/>
    <col min="6" max="6" width="16.5546875" customWidth="1"/>
    <col min="7" max="7" width="9.5546875" style="120" customWidth="1"/>
    <col min="8" max="8" width="8.6640625" style="120" customWidth="1"/>
    <col min="9" max="9" width="8" style="120" customWidth="1"/>
    <col min="10" max="10" width="9.5546875" style="120" customWidth="1"/>
    <col min="11" max="11" width="8.88671875" style="332"/>
    <col min="12" max="12" width="10.44140625" style="332" bestFit="1" customWidth="1"/>
    <col min="13" max="13" width="5.44140625" style="332" bestFit="1" customWidth="1"/>
    <col min="14" max="14" width="10.5546875" style="332" bestFit="1" customWidth="1"/>
    <col min="15" max="15" width="6.109375" style="332" bestFit="1" customWidth="1"/>
  </cols>
  <sheetData>
    <row r="1" spans="1:18" ht="21.75" customHeight="1">
      <c r="H1" s="424" t="s">
        <v>104</v>
      </c>
      <c r="I1" s="424"/>
      <c r="J1" s="424"/>
    </row>
    <row r="2" spans="1:18" ht="13.8">
      <c r="A2" s="388"/>
      <c r="B2" s="388"/>
      <c r="C2" s="388"/>
      <c r="D2" s="388"/>
      <c r="E2" s="388"/>
      <c r="F2" s="388"/>
      <c r="G2" s="388"/>
      <c r="H2" s="388"/>
      <c r="I2" s="388"/>
      <c r="J2" s="388"/>
      <c r="L2" s="352" t="s">
        <v>245</v>
      </c>
    </row>
    <row r="3" spans="1:18" ht="17.399999999999999">
      <c r="A3" s="425" t="s">
        <v>105</v>
      </c>
      <c r="B3" s="425"/>
      <c r="C3" s="425"/>
      <c r="D3" s="425"/>
      <c r="E3" s="425"/>
      <c r="F3" s="425"/>
      <c r="G3" s="425"/>
      <c r="H3" s="425"/>
      <c r="I3" s="425"/>
      <c r="J3" s="425"/>
      <c r="M3" s="352" t="s">
        <v>235</v>
      </c>
      <c r="N3" s="352"/>
      <c r="O3" s="352"/>
      <c r="P3" s="352"/>
      <c r="Q3" s="352" t="s">
        <v>240</v>
      </c>
      <c r="R3" s="352"/>
    </row>
    <row r="4" spans="1:18" ht="17.399999999999999">
      <c r="A4" s="121"/>
      <c r="B4" s="122"/>
      <c r="C4" s="122"/>
      <c r="D4" s="122"/>
      <c r="E4" s="122"/>
      <c r="F4" s="122"/>
      <c r="G4" s="122"/>
      <c r="H4" s="122"/>
      <c r="I4" s="122"/>
      <c r="J4" s="122"/>
      <c r="M4" s="352" t="s">
        <v>236</v>
      </c>
      <c r="N4" s="352"/>
      <c r="O4" s="352"/>
      <c r="P4" s="352"/>
      <c r="Q4" s="352" t="s">
        <v>241</v>
      </c>
      <c r="R4" s="352"/>
    </row>
    <row r="5" spans="1:18" ht="13.8">
      <c r="A5" s="123"/>
      <c r="B5" s="124"/>
      <c r="C5" s="124"/>
      <c r="D5" s="124"/>
      <c r="E5" s="124"/>
      <c r="F5" s="124"/>
      <c r="G5" s="124"/>
      <c r="H5" s="124"/>
      <c r="I5" s="124"/>
      <c r="J5" s="124"/>
      <c r="M5" s="352" t="s">
        <v>237</v>
      </c>
      <c r="N5" s="352"/>
      <c r="O5" s="352"/>
      <c r="P5" s="352"/>
      <c r="Q5" s="352" t="s">
        <v>242</v>
      </c>
      <c r="R5" s="352"/>
    </row>
    <row r="6" spans="1:18" ht="15.75" customHeight="1">
      <c r="A6" s="125" t="s">
        <v>106</v>
      </c>
      <c r="B6" s="124"/>
      <c r="C6" s="124"/>
      <c r="D6" s="124"/>
      <c r="E6" s="124"/>
      <c r="F6" s="126"/>
      <c r="G6" s="124"/>
      <c r="H6" s="124"/>
      <c r="I6" s="124"/>
      <c r="J6" s="124"/>
      <c r="M6" s="352" t="s">
        <v>238</v>
      </c>
      <c r="N6" s="352"/>
      <c r="O6" s="352"/>
      <c r="P6" s="352"/>
      <c r="Q6" s="352" t="s">
        <v>243</v>
      </c>
      <c r="R6" s="352"/>
    </row>
    <row r="7" spans="1:18" ht="15.75" customHeight="1">
      <c r="A7" s="125" t="s">
        <v>107</v>
      </c>
      <c r="B7" s="124"/>
      <c r="C7" s="124"/>
      <c r="D7" s="124"/>
      <c r="E7" s="124"/>
      <c r="F7" s="126"/>
      <c r="G7" s="124"/>
      <c r="H7" s="426" t="s">
        <v>108</v>
      </c>
      <c r="I7" s="426"/>
      <c r="J7" s="426"/>
      <c r="M7" s="352" t="s">
        <v>239</v>
      </c>
      <c r="N7" s="352"/>
      <c r="O7" s="352"/>
      <c r="P7" s="352"/>
      <c r="Q7" s="352" t="s">
        <v>244</v>
      </c>
      <c r="R7" s="352"/>
    </row>
    <row r="8" spans="1:18" ht="6.75" customHeight="1" thickBot="1">
      <c r="A8" s="123"/>
      <c r="B8" s="124"/>
      <c r="C8" s="124"/>
      <c r="D8" s="124"/>
      <c r="E8" s="124"/>
      <c r="F8" s="124"/>
      <c r="G8" s="294"/>
      <c r="H8" s="294"/>
      <c r="I8" s="294"/>
      <c r="J8" s="294"/>
    </row>
    <row r="9" spans="1:18" ht="15.75" customHeight="1">
      <c r="A9" s="127" t="s">
        <v>109</v>
      </c>
      <c r="B9" s="427" t="s">
        <v>227</v>
      </c>
      <c r="C9" s="427"/>
      <c r="D9" s="427"/>
      <c r="E9" s="428"/>
      <c r="F9" s="127" t="s">
        <v>110</v>
      </c>
      <c r="G9" s="429" t="s">
        <v>257</v>
      </c>
      <c r="H9" s="430"/>
      <c r="I9" s="430"/>
      <c r="J9" s="431"/>
    </row>
    <row r="10" spans="1:18" ht="15.75" customHeight="1">
      <c r="A10" s="128" t="s">
        <v>111</v>
      </c>
      <c r="B10" s="434" t="str">
        <f>Source!A2</f>
        <v>Instructor I - Temporary</v>
      </c>
      <c r="C10" s="434"/>
      <c r="D10" s="434"/>
      <c r="E10" s="435"/>
      <c r="F10" s="128"/>
      <c r="G10" s="432"/>
      <c r="H10" s="432"/>
      <c r="I10" s="432"/>
      <c r="J10" s="433"/>
    </row>
    <row r="11" spans="1:18" ht="15.75" customHeight="1">
      <c r="A11" s="369" t="str">
        <f>CONCATENATE("Official Station: ",Source!A3)</f>
        <v xml:space="preserve">Official Station: </v>
      </c>
      <c r="B11" s="372" t="s">
        <v>249</v>
      </c>
      <c r="C11" s="370"/>
      <c r="D11" s="370"/>
      <c r="E11" s="371"/>
      <c r="G11" s="432"/>
      <c r="H11" s="432"/>
      <c r="I11" s="432"/>
      <c r="J11" s="433"/>
    </row>
    <row r="12" spans="1:18" ht="15.75" customHeight="1">
      <c r="A12" s="129"/>
      <c r="B12" s="126"/>
      <c r="C12" s="126"/>
      <c r="D12" s="126"/>
      <c r="E12" s="126"/>
      <c r="F12" s="401" t="s">
        <v>112</v>
      </c>
      <c r="G12" s="402"/>
      <c r="H12" s="402"/>
      <c r="I12" s="402"/>
      <c r="J12" s="403"/>
    </row>
    <row r="13" spans="1:18" ht="15.75" customHeight="1">
      <c r="A13" s="129"/>
      <c r="B13" s="126"/>
      <c r="C13" s="126"/>
      <c r="D13" s="126"/>
      <c r="E13" s="126"/>
      <c r="F13" s="404" t="s">
        <v>258</v>
      </c>
      <c r="G13" s="405"/>
      <c r="H13" s="405"/>
      <c r="I13" s="405"/>
      <c r="J13" s="406"/>
    </row>
    <row r="14" spans="1:18" ht="49.2" customHeight="1">
      <c r="A14" s="129"/>
      <c r="B14" s="126"/>
      <c r="C14" s="126"/>
      <c r="D14" s="126"/>
      <c r="E14" s="126"/>
      <c r="F14" s="404"/>
      <c r="G14" s="405"/>
      <c r="H14" s="405"/>
      <c r="I14" s="405"/>
      <c r="J14" s="406"/>
      <c r="L14" s="332">
        <f>180*3</f>
        <v>540</v>
      </c>
    </row>
    <row r="15" spans="1:18" ht="13.5" customHeight="1" thickBot="1">
      <c r="A15" s="130"/>
      <c r="B15" s="131"/>
      <c r="C15" s="131"/>
      <c r="D15" s="131"/>
      <c r="E15" s="131"/>
      <c r="F15" s="407"/>
      <c r="G15" s="408"/>
      <c r="H15" s="408"/>
      <c r="I15" s="408"/>
      <c r="J15" s="409"/>
    </row>
    <row r="16" spans="1:18" ht="4.2" customHeight="1" thickBot="1">
      <c r="A16" s="154"/>
      <c r="B16" s="5"/>
      <c r="C16" s="5"/>
      <c r="D16" s="131"/>
      <c r="E16" s="131"/>
      <c r="F16" s="5"/>
      <c r="G16" s="5"/>
      <c r="H16" s="5"/>
      <c r="I16" s="5"/>
      <c r="J16" s="4"/>
    </row>
    <row r="17" spans="1:16" s="136" customFormat="1" ht="15.75" customHeight="1" thickBot="1">
      <c r="A17" s="410" t="s">
        <v>50</v>
      </c>
      <c r="B17" s="412" t="s">
        <v>113</v>
      </c>
      <c r="C17" s="413"/>
      <c r="D17" s="414" t="s">
        <v>114</v>
      </c>
      <c r="E17" s="415"/>
      <c r="F17" s="134" t="s">
        <v>115</v>
      </c>
      <c r="G17" s="416" t="s">
        <v>116</v>
      </c>
      <c r="H17" s="135" t="s">
        <v>117</v>
      </c>
      <c r="I17" s="418" t="s">
        <v>118</v>
      </c>
      <c r="J17" s="420" t="s">
        <v>119</v>
      </c>
      <c r="K17" s="331"/>
      <c r="L17" s="331"/>
      <c r="M17" s="331"/>
      <c r="N17" s="331"/>
      <c r="O17" s="331"/>
    </row>
    <row r="18" spans="1:16" s="136" customFormat="1" ht="14.4" thickBot="1">
      <c r="A18" s="411"/>
      <c r="B18" s="422" t="s">
        <v>120</v>
      </c>
      <c r="C18" s="423"/>
      <c r="D18" s="137" t="s">
        <v>121</v>
      </c>
      <c r="E18" s="137" t="s">
        <v>122</v>
      </c>
      <c r="F18" s="138" t="s">
        <v>123</v>
      </c>
      <c r="G18" s="417"/>
      <c r="H18" s="139" t="s">
        <v>124</v>
      </c>
      <c r="I18" s="419"/>
      <c r="J18" s="421"/>
      <c r="K18" s="332" t="s">
        <v>202</v>
      </c>
      <c r="L18" s="332" t="s">
        <v>205</v>
      </c>
      <c r="M18" s="332" t="s">
        <v>203</v>
      </c>
      <c r="N18" s="332" t="s">
        <v>205</v>
      </c>
      <c r="O18" s="332" t="s">
        <v>204</v>
      </c>
    </row>
    <row r="19" spans="1:16">
      <c r="A19" s="325" t="s">
        <v>257</v>
      </c>
      <c r="B19" s="149" t="s">
        <v>259</v>
      </c>
      <c r="C19" s="150"/>
      <c r="D19" s="141">
        <v>0.25</v>
      </c>
      <c r="E19" s="141">
        <v>0.32291666666666669</v>
      </c>
      <c r="F19" s="142" t="s">
        <v>261</v>
      </c>
      <c r="G19" s="143"/>
      <c r="H19" s="144">
        <v>540</v>
      </c>
      <c r="I19" s="145"/>
      <c r="J19" s="146">
        <f>G19+H19+I19</f>
        <v>540</v>
      </c>
      <c r="L19" s="332">
        <v>180</v>
      </c>
      <c r="M19" s="332">
        <v>180</v>
      </c>
      <c r="N19" s="332">
        <v>180</v>
      </c>
      <c r="P19" s="333"/>
    </row>
    <row r="20" spans="1:16" ht="13.2" customHeight="1">
      <c r="A20" s="326"/>
      <c r="B20" s="300" t="s">
        <v>260</v>
      </c>
      <c r="C20" s="150"/>
      <c r="D20" s="141"/>
      <c r="E20" s="141"/>
      <c r="F20" s="299"/>
      <c r="G20" s="143"/>
      <c r="H20" s="144"/>
      <c r="I20" s="145"/>
      <c r="J20" s="146"/>
    </row>
    <row r="21" spans="1:16">
      <c r="A21" s="307"/>
      <c r="B21" s="300"/>
      <c r="C21" s="315"/>
      <c r="D21" s="141"/>
      <c r="E21" s="141"/>
      <c r="F21" s="142"/>
      <c r="G21" s="143"/>
      <c r="H21" s="144"/>
      <c r="I21" s="145"/>
      <c r="J21" s="146"/>
    </row>
    <row r="22" spans="1:16">
      <c r="A22" s="368"/>
      <c r="B22" s="367"/>
      <c r="C22" s="315"/>
      <c r="D22" s="141"/>
      <c r="E22" s="141"/>
      <c r="F22" s="142"/>
      <c r="G22" s="143"/>
      <c r="H22" s="144"/>
      <c r="I22" s="145"/>
      <c r="J22" s="146"/>
    </row>
    <row r="23" spans="1:16">
      <c r="A23" s="324"/>
      <c r="B23" s="300"/>
      <c r="C23" s="315"/>
      <c r="D23" s="141"/>
      <c r="E23" s="316"/>
      <c r="F23" s="299"/>
      <c r="G23" s="143"/>
      <c r="H23" s="144"/>
      <c r="I23" s="145"/>
      <c r="J23" s="146"/>
    </row>
    <row r="24" spans="1:16">
      <c r="A24" s="324"/>
      <c r="B24" s="300"/>
      <c r="C24" s="315"/>
      <c r="D24" s="141"/>
      <c r="E24" s="316"/>
      <c r="F24" s="142"/>
      <c r="G24" s="143"/>
      <c r="H24" s="144"/>
      <c r="I24" s="145"/>
      <c r="J24" s="146"/>
      <c r="P24" s="377"/>
    </row>
    <row r="25" spans="1:16" ht="13.8" customHeight="1">
      <c r="A25" s="324"/>
      <c r="B25" s="397"/>
      <c r="C25" s="398"/>
      <c r="D25" s="141"/>
      <c r="E25" s="141"/>
      <c r="F25" s="142"/>
      <c r="G25" s="143"/>
      <c r="H25" s="144"/>
      <c r="I25" s="145"/>
      <c r="J25" s="146"/>
      <c r="P25" s="333"/>
    </row>
    <row r="26" spans="1:16">
      <c r="A26" s="324"/>
      <c r="B26" s="373"/>
      <c r="C26" s="374"/>
      <c r="D26" s="301"/>
      <c r="E26" s="301"/>
      <c r="F26" s="302"/>
      <c r="G26" s="303"/>
      <c r="H26" s="303"/>
      <c r="I26" s="303"/>
      <c r="J26" s="146"/>
      <c r="P26" s="333"/>
    </row>
    <row r="27" spans="1:16">
      <c r="A27" s="324"/>
      <c r="B27" s="397"/>
      <c r="C27" s="398"/>
      <c r="D27" s="141"/>
      <c r="E27" s="141"/>
      <c r="F27" s="142"/>
      <c r="G27" s="143"/>
      <c r="H27" s="144"/>
      <c r="I27" s="145"/>
      <c r="J27" s="146"/>
      <c r="P27" s="333"/>
    </row>
    <row r="28" spans="1:16">
      <c r="A28" s="324"/>
      <c r="B28" s="397"/>
      <c r="C28" s="398"/>
      <c r="D28" s="141"/>
      <c r="E28" s="141"/>
      <c r="F28" s="142"/>
      <c r="G28" s="143"/>
      <c r="H28" s="144"/>
      <c r="I28" s="145"/>
      <c r="J28" s="146"/>
      <c r="P28" s="333"/>
    </row>
    <row r="29" spans="1:16" ht="13.2" customHeight="1">
      <c r="A29" s="324"/>
      <c r="B29" s="327"/>
      <c r="C29" s="328"/>
      <c r="D29" s="141"/>
      <c r="E29" s="141"/>
      <c r="F29" s="142"/>
      <c r="G29" s="143"/>
      <c r="H29" s="144"/>
      <c r="I29" s="144"/>
      <c r="J29" s="146"/>
      <c r="P29" s="333"/>
    </row>
    <row r="30" spans="1:16">
      <c r="A30" s="351"/>
      <c r="B30" s="314"/>
      <c r="C30" s="350"/>
      <c r="D30" s="141"/>
      <c r="E30" s="141"/>
      <c r="F30" s="142"/>
      <c r="G30" s="143"/>
      <c r="H30" s="144"/>
      <c r="I30" s="144"/>
      <c r="J30" s="146"/>
    </row>
    <row r="31" spans="1:16">
      <c r="A31" s="351"/>
      <c r="B31" s="300"/>
      <c r="C31" s="350"/>
      <c r="D31" s="141"/>
      <c r="E31" s="141"/>
      <c r="F31" s="142"/>
      <c r="G31" s="143"/>
      <c r="H31" s="144"/>
      <c r="I31" s="144"/>
      <c r="J31" s="146"/>
    </row>
    <row r="32" spans="1:16">
      <c r="A32" s="324"/>
      <c r="B32" s="314"/>
      <c r="C32" s="350"/>
      <c r="D32" s="141"/>
      <c r="E32" s="141"/>
      <c r="F32" s="142"/>
      <c r="G32" s="143"/>
      <c r="H32" s="144"/>
      <c r="I32" s="144"/>
      <c r="J32" s="146"/>
    </row>
    <row r="33" spans="1:14" ht="13.8" customHeight="1">
      <c r="A33" s="351"/>
      <c r="B33" s="300"/>
      <c r="D33" s="141"/>
      <c r="E33" s="141"/>
      <c r="F33" s="299"/>
      <c r="G33" s="145"/>
      <c r="H33" s="144"/>
      <c r="I33" s="144"/>
      <c r="J33" s="146"/>
    </row>
    <row r="34" spans="1:14" ht="13.8" customHeight="1">
      <c r="A34" s="308"/>
      <c r="B34" s="300"/>
      <c r="D34" s="141"/>
      <c r="E34" s="141"/>
      <c r="F34" s="142"/>
      <c r="G34" s="145"/>
      <c r="H34" s="144"/>
      <c r="I34" s="144"/>
      <c r="J34" s="146"/>
    </row>
    <row r="35" spans="1:14">
      <c r="A35" s="399"/>
      <c r="B35" s="322"/>
      <c r="C35" s="323"/>
      <c r="D35" s="301"/>
      <c r="E35" s="301"/>
      <c r="F35" s="302"/>
      <c r="G35" s="303"/>
      <c r="H35" s="303"/>
      <c r="I35" s="303"/>
      <c r="J35" s="146"/>
    </row>
    <row r="36" spans="1:14">
      <c r="A36" s="399"/>
      <c r="B36" s="320"/>
      <c r="C36" s="321"/>
      <c r="D36" s="141"/>
      <c r="E36" s="141"/>
      <c r="F36" s="142"/>
      <c r="G36" s="145"/>
      <c r="H36" s="144"/>
      <c r="I36" s="147"/>
      <c r="J36" s="146"/>
    </row>
    <row r="37" spans="1:14">
      <c r="A37" s="400"/>
      <c r="B37" s="327"/>
      <c r="C37" s="328"/>
      <c r="D37" s="141"/>
      <c r="E37" s="141"/>
      <c r="F37" s="148"/>
      <c r="G37" s="145"/>
      <c r="H37" s="144"/>
      <c r="I37" s="147"/>
      <c r="J37" s="146"/>
    </row>
    <row r="38" spans="1:14">
      <c r="A38" s="400"/>
      <c r="B38" s="317"/>
      <c r="C38" s="318"/>
      <c r="D38" s="141"/>
      <c r="E38" s="141"/>
      <c r="F38" s="142"/>
      <c r="G38" s="143"/>
      <c r="H38" s="144"/>
      <c r="I38" s="147"/>
      <c r="J38" s="146"/>
    </row>
    <row r="39" spans="1:14" ht="13.8" thickBot="1">
      <c r="A39" s="151"/>
      <c r="B39" s="329"/>
      <c r="C39" s="330"/>
      <c r="D39" s="203"/>
      <c r="E39" s="203"/>
      <c r="F39" s="204"/>
      <c r="G39" s="143"/>
      <c r="H39" s="205"/>
      <c r="I39" s="206"/>
      <c r="J39" s="146"/>
    </row>
    <row r="40" spans="1:14" ht="15.75" customHeight="1" thickBot="1">
      <c r="A40" s="133"/>
      <c r="B40" s="202" t="s">
        <v>125</v>
      </c>
      <c r="C40" s="396" t="s">
        <v>262</v>
      </c>
      <c r="D40" s="396"/>
      <c r="E40" s="396"/>
      <c r="F40" s="396"/>
      <c r="G40" s="396"/>
      <c r="H40" s="396"/>
      <c r="I40" s="153" t="s">
        <v>69</v>
      </c>
      <c r="J40" s="201">
        <f>SUM(J19:J39)</f>
        <v>540</v>
      </c>
      <c r="L40" s="349">
        <f>17020-J40</f>
        <v>16480</v>
      </c>
      <c r="N40" s="349">
        <f>L40-J40</f>
        <v>15940</v>
      </c>
    </row>
    <row r="41" spans="1:14" ht="13.8">
      <c r="A41" s="154"/>
      <c r="B41" s="155"/>
      <c r="C41" s="155"/>
      <c r="D41" s="17"/>
      <c r="E41" s="127" t="s">
        <v>126</v>
      </c>
      <c r="F41" s="152"/>
      <c r="G41" s="156"/>
      <c r="H41" s="156"/>
      <c r="I41" s="156"/>
      <c r="J41" s="157"/>
    </row>
    <row r="42" spans="1:14" ht="13.8">
      <c r="A42" s="133"/>
      <c r="B42" s="5"/>
      <c r="C42" s="5"/>
      <c r="D42" s="4"/>
      <c r="E42" s="128"/>
      <c r="F42" s="152"/>
      <c r="G42" s="156"/>
      <c r="H42" s="156"/>
      <c r="I42" s="156"/>
      <c r="J42" s="157"/>
    </row>
    <row r="43" spans="1:14" ht="15" customHeight="1">
      <c r="A43" s="384" t="s">
        <v>127</v>
      </c>
      <c r="B43" s="385"/>
      <c r="C43" s="385"/>
      <c r="D43" s="386"/>
      <c r="E43" s="387" t="str">
        <f>B9</f>
        <v>ROGER E. AMOLATO</v>
      </c>
      <c r="F43" s="388"/>
      <c r="G43" s="388"/>
      <c r="H43" s="388"/>
      <c r="I43" s="388"/>
      <c r="J43" s="389"/>
    </row>
    <row r="44" spans="1:14" ht="13.8">
      <c r="A44" s="384"/>
      <c r="B44" s="385"/>
      <c r="C44" s="385"/>
      <c r="D44" s="386"/>
      <c r="E44" s="378" t="s">
        <v>128</v>
      </c>
      <c r="F44" s="379"/>
      <c r="G44" s="379"/>
      <c r="H44" s="379"/>
      <c r="I44" s="379"/>
      <c r="J44" s="380"/>
    </row>
    <row r="45" spans="1:14" ht="14.4" thickBot="1">
      <c r="A45" s="384"/>
      <c r="B45" s="385"/>
      <c r="C45" s="385"/>
      <c r="D45" s="386"/>
      <c r="E45" s="390"/>
      <c r="F45" s="391"/>
      <c r="G45" s="391"/>
      <c r="H45" s="391"/>
      <c r="I45" s="391"/>
      <c r="J45" s="392"/>
    </row>
    <row r="46" spans="1:14" ht="13.8">
      <c r="A46" s="384"/>
      <c r="B46" s="385"/>
      <c r="C46" s="385"/>
      <c r="D46" s="386"/>
      <c r="E46" s="127" t="s">
        <v>129</v>
      </c>
      <c r="F46" s="158"/>
      <c r="G46" s="159"/>
      <c r="H46" s="159"/>
      <c r="I46" s="159"/>
      <c r="J46" s="160"/>
    </row>
    <row r="47" spans="1:14" ht="13.8">
      <c r="A47" s="384"/>
      <c r="B47" s="385"/>
      <c r="C47" s="385"/>
      <c r="D47" s="386"/>
      <c r="E47" s="37"/>
      <c r="F47" s="5"/>
      <c r="G47" s="156"/>
      <c r="H47" s="156"/>
      <c r="I47" s="156"/>
      <c r="J47" s="157"/>
    </row>
    <row r="48" spans="1:14" ht="13.8">
      <c r="A48" s="393"/>
      <c r="B48" s="394"/>
      <c r="C48" s="394"/>
      <c r="D48" s="395"/>
      <c r="E48" s="37"/>
      <c r="F48" s="5"/>
      <c r="G48" s="156"/>
      <c r="H48" s="156"/>
      <c r="I48" s="156"/>
      <c r="J48" s="157"/>
    </row>
    <row r="49" spans="1:10" ht="13.8">
      <c r="A49" s="133"/>
      <c r="B49" s="5"/>
      <c r="C49" s="5"/>
      <c r="D49" s="4"/>
      <c r="E49" s="37"/>
      <c r="F49" s="5"/>
      <c r="G49" s="156"/>
      <c r="H49" s="156"/>
      <c r="I49" s="156"/>
      <c r="J49" s="157"/>
    </row>
    <row r="50" spans="1:10" ht="13.8">
      <c r="A50" s="387" t="s">
        <v>263</v>
      </c>
      <c r="B50" s="388"/>
      <c r="C50" s="388"/>
      <c r="D50" s="389"/>
      <c r="E50" s="387" t="s">
        <v>222</v>
      </c>
      <c r="F50" s="388"/>
      <c r="G50" s="388"/>
      <c r="H50" s="388"/>
      <c r="I50" s="388"/>
      <c r="J50" s="389"/>
    </row>
    <row r="51" spans="1:10" ht="13.8">
      <c r="A51" s="378" t="s">
        <v>128</v>
      </c>
      <c r="B51" s="379"/>
      <c r="C51" s="379"/>
      <c r="D51" s="380"/>
      <c r="E51" s="378" t="s">
        <v>128</v>
      </c>
      <c r="F51" s="379"/>
      <c r="G51" s="379"/>
      <c r="H51" s="379"/>
      <c r="I51" s="379"/>
      <c r="J51" s="380"/>
    </row>
    <row r="52" spans="1:10" ht="13.8">
      <c r="A52" s="381" t="s">
        <v>130</v>
      </c>
      <c r="B52" s="382"/>
      <c r="C52" s="382"/>
      <c r="D52" s="383"/>
      <c r="E52" s="381" t="s">
        <v>49</v>
      </c>
      <c r="F52" s="382"/>
      <c r="G52" s="382"/>
      <c r="H52" s="382"/>
      <c r="I52" s="382"/>
      <c r="J52" s="383"/>
    </row>
    <row r="53" spans="1:10" ht="13.8">
      <c r="A53" s="161"/>
      <c r="E53" s="37"/>
      <c r="F53" s="5"/>
      <c r="G53" s="162"/>
      <c r="H53" s="162"/>
      <c r="I53" s="162"/>
      <c r="J53" s="157"/>
    </row>
    <row r="54" spans="1:10" ht="14.4" thickBot="1">
      <c r="A54" s="130"/>
      <c r="B54" s="131"/>
      <c r="C54" s="163"/>
      <c r="D54" s="18"/>
      <c r="E54" s="164"/>
      <c r="F54" s="131"/>
      <c r="G54" s="165"/>
      <c r="H54" s="165"/>
      <c r="I54" s="165"/>
      <c r="J54" s="166"/>
    </row>
    <row r="55" spans="1:10" ht="13.8">
      <c r="A55" s="167"/>
      <c r="B55" s="5"/>
      <c r="C55" s="5"/>
      <c r="D55" s="5"/>
      <c r="E55" s="5"/>
      <c r="F55" s="5"/>
      <c r="G55" s="168"/>
      <c r="H55" s="168"/>
      <c r="I55" s="168"/>
      <c r="J55" s="168"/>
    </row>
  </sheetData>
  <mergeCells count="34">
    <mergeCell ref="H1:J1"/>
    <mergeCell ref="A2:J2"/>
    <mergeCell ref="A3:J3"/>
    <mergeCell ref="H7:J7"/>
    <mergeCell ref="B9:E9"/>
    <mergeCell ref="G9:J11"/>
    <mergeCell ref="B10:E10"/>
    <mergeCell ref="F12:J12"/>
    <mergeCell ref="F13:J14"/>
    <mergeCell ref="F15:J15"/>
    <mergeCell ref="A17:A18"/>
    <mergeCell ref="B17:C17"/>
    <mergeCell ref="D17:E17"/>
    <mergeCell ref="G17:G18"/>
    <mergeCell ref="I17:I18"/>
    <mergeCell ref="J17:J18"/>
    <mergeCell ref="B18:C18"/>
    <mergeCell ref="C40:H40"/>
    <mergeCell ref="B25:C25"/>
    <mergeCell ref="A35:A36"/>
    <mergeCell ref="A37:A38"/>
    <mergeCell ref="B27:C27"/>
    <mergeCell ref="B28:C28"/>
    <mergeCell ref="A51:D51"/>
    <mergeCell ref="E51:J51"/>
    <mergeCell ref="A52:D52"/>
    <mergeCell ref="E52:J52"/>
    <mergeCell ref="A43:D47"/>
    <mergeCell ref="E43:J43"/>
    <mergeCell ref="E44:J44"/>
    <mergeCell ref="E45:J45"/>
    <mergeCell ref="A48:D48"/>
    <mergeCell ref="A50:D50"/>
    <mergeCell ref="E50:J50"/>
  </mergeCells>
  <printOptions horizontalCentered="1"/>
  <pageMargins left="0.25" right="0.25" top="0.75" bottom="0.75" header="0.3" footer="0.3"/>
  <pageSetup paperSize="9" scale="87" orientation="portrait" horizontalDpi="360" verticalDpi="360" r:id="rId1"/>
  <headerFooter alignWithMargins="0">
    <oddFooter>&amp;C&amp;"Times New Roman,Regular"&amp;12 121</oddFooter>
  </headerFooter>
  <rowBreaks count="1" manualBreakCount="1">
    <brk id="54"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2:I46"/>
  <sheetViews>
    <sheetView topLeftCell="A7" workbookViewId="0">
      <selection activeCell="T15" sqref="T15"/>
    </sheetView>
  </sheetViews>
  <sheetFormatPr defaultRowHeight="13.2"/>
  <sheetData>
    <row r="2" spans="1:9">
      <c r="A2" s="436" t="s">
        <v>165</v>
      </c>
      <c r="B2" s="436"/>
      <c r="C2" s="436"/>
      <c r="D2" s="436"/>
      <c r="E2" s="436"/>
      <c r="F2" s="436"/>
      <c r="G2" s="436"/>
      <c r="H2" s="436"/>
      <c r="I2" s="436"/>
    </row>
    <row r="4" spans="1:9">
      <c r="A4" s="437" t="s">
        <v>166</v>
      </c>
      <c r="B4" s="437"/>
      <c r="C4" s="437"/>
      <c r="D4" s="437"/>
      <c r="E4" s="437"/>
      <c r="F4" s="437"/>
      <c r="G4" s="437"/>
      <c r="H4" s="437"/>
      <c r="I4" s="437"/>
    </row>
    <row r="6" spans="1:9">
      <c r="A6" s="292" t="s">
        <v>167</v>
      </c>
      <c r="F6" s="292" t="s">
        <v>168</v>
      </c>
    </row>
    <row r="9" spans="1:9">
      <c r="B9" s="292" t="s">
        <v>222</v>
      </c>
      <c r="G9" s="292" t="s">
        <v>169</v>
      </c>
    </row>
    <row r="10" spans="1:9">
      <c r="B10" s="292" t="s">
        <v>170</v>
      </c>
      <c r="G10" s="292" t="s">
        <v>171</v>
      </c>
    </row>
    <row r="13" spans="1:9">
      <c r="A13" s="292" t="s">
        <v>172</v>
      </c>
    </row>
    <row r="14" spans="1:9">
      <c r="A14" s="292" t="s">
        <v>173</v>
      </c>
    </row>
    <row r="17" spans="1:8">
      <c r="B17" s="292" t="s">
        <v>174</v>
      </c>
      <c r="C17" s="292" t="s">
        <v>175</v>
      </c>
    </row>
    <row r="18" spans="1:8">
      <c r="B18" s="292" t="s">
        <v>176</v>
      </c>
      <c r="C18" s="292" t="s">
        <v>177</v>
      </c>
    </row>
    <row r="19" spans="1:8">
      <c r="C19" s="292" t="s">
        <v>178</v>
      </c>
    </row>
    <row r="20" spans="1:8">
      <c r="B20" s="292" t="s">
        <v>176</v>
      </c>
      <c r="C20" s="292" t="s">
        <v>179</v>
      </c>
    </row>
    <row r="21" spans="1:8">
      <c r="B21" s="292" t="s">
        <v>176</v>
      </c>
      <c r="C21" s="292" t="s">
        <v>180</v>
      </c>
    </row>
    <row r="23" spans="1:8">
      <c r="A23" s="292" t="s">
        <v>181</v>
      </c>
    </row>
    <row r="24" spans="1:8">
      <c r="A24" s="295"/>
      <c r="B24" s="295"/>
      <c r="C24" s="295"/>
      <c r="D24" s="295"/>
      <c r="E24" s="295"/>
      <c r="F24" s="295"/>
      <c r="G24" s="295"/>
      <c r="H24" s="295"/>
    </row>
    <row r="26" spans="1:8">
      <c r="A26" s="292" t="s">
        <v>182</v>
      </c>
    </row>
    <row r="28" spans="1:8">
      <c r="A28" s="296" t="s">
        <v>183</v>
      </c>
      <c r="B28" s="295"/>
      <c r="C28" s="295"/>
      <c r="D28" s="295"/>
      <c r="E28" s="295"/>
      <c r="F28" s="295"/>
      <c r="G28" s="295"/>
      <c r="H28" s="295"/>
    </row>
    <row r="29" spans="1:8">
      <c r="A29" s="297"/>
      <c r="B29" s="297"/>
      <c r="C29" s="297"/>
      <c r="D29" s="297"/>
      <c r="E29" s="297"/>
      <c r="F29" s="297"/>
      <c r="G29" s="297"/>
      <c r="H29" s="297"/>
    </row>
    <row r="30" spans="1:8">
      <c r="A30" s="297"/>
      <c r="B30" s="297"/>
      <c r="C30" s="297"/>
      <c r="D30" s="297"/>
      <c r="E30" s="297"/>
      <c r="F30" s="297"/>
      <c r="G30" s="297"/>
      <c r="H30" s="297"/>
    </row>
    <row r="33" spans="1:6">
      <c r="F33" s="292" t="s">
        <v>184</v>
      </c>
    </row>
    <row r="36" spans="1:6">
      <c r="F36" s="136" t="s">
        <v>227</v>
      </c>
    </row>
    <row r="37" spans="1:6">
      <c r="F37" s="292" t="s">
        <v>197</v>
      </c>
    </row>
    <row r="39" spans="1:6">
      <c r="B39" s="292" t="s">
        <v>185</v>
      </c>
    </row>
    <row r="40" spans="1:6">
      <c r="A40" s="292" t="s">
        <v>186</v>
      </c>
    </row>
    <row r="42" spans="1:6">
      <c r="F42" s="292" t="s">
        <v>187</v>
      </c>
    </row>
    <row r="45" spans="1:6">
      <c r="F45" s="136" t="s">
        <v>222</v>
      </c>
    </row>
    <row r="46" spans="1:6">
      <c r="F46" s="292" t="s">
        <v>47</v>
      </c>
    </row>
  </sheetData>
  <mergeCells count="2">
    <mergeCell ref="A2:I2"/>
    <mergeCell ref="A4:I4"/>
  </mergeCells>
  <pageMargins left="0.95" right="0.95"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L59"/>
  <sheetViews>
    <sheetView topLeftCell="A35" zoomScale="96" zoomScaleNormal="85" zoomScaleSheetLayoutView="110" workbookViewId="0">
      <selection activeCell="A31" sqref="A31:AG31"/>
    </sheetView>
  </sheetViews>
  <sheetFormatPr defaultColWidth="8.88671875" defaultRowHeight="13.2"/>
  <cols>
    <col min="1" max="1" width="2.5546875" style="1" customWidth="1"/>
    <col min="2" max="2" width="4" style="1" customWidth="1"/>
    <col min="3" max="3" width="3.6640625" style="1" customWidth="1"/>
    <col min="4" max="4" width="1.5546875" style="1" hidden="1" customWidth="1"/>
    <col min="5" max="5" width="2.44140625" style="1" customWidth="1"/>
    <col min="6" max="16" width="2.88671875" style="1" customWidth="1"/>
    <col min="17" max="17" width="5.6640625" style="1" customWidth="1"/>
    <col min="18" max="18" width="3.6640625" style="1" customWidth="1"/>
    <col min="19" max="26" width="2.88671875" style="1" customWidth="1"/>
    <col min="27" max="27" width="4.5546875" style="1" customWidth="1"/>
    <col min="28" max="32" width="2.88671875" style="1" customWidth="1"/>
    <col min="33" max="33" width="14" style="1" customWidth="1"/>
    <col min="34" max="34" width="0.109375" style="1" hidden="1" customWidth="1"/>
    <col min="35" max="37" width="8.88671875" style="1"/>
    <col min="38" max="38" width="9.44140625" style="1" bestFit="1" customWidth="1"/>
    <col min="39" max="16384" width="8.88671875" style="1"/>
  </cols>
  <sheetData>
    <row r="1" spans="1:38" ht="18.75" customHeight="1">
      <c r="AB1" s="441" t="s">
        <v>0</v>
      </c>
      <c r="AC1" s="441"/>
      <c r="AD1" s="441"/>
      <c r="AE1" s="441"/>
      <c r="AF1" s="441"/>
      <c r="AG1" s="441"/>
    </row>
    <row r="2" spans="1:38" ht="15" customHeight="1" thickBot="1">
      <c r="AB2" s="2"/>
    </row>
    <row r="3" spans="1:38" ht="21" customHeight="1">
      <c r="A3" s="442" t="s">
        <v>1</v>
      </c>
      <c r="B3" s="443"/>
      <c r="C3" s="443"/>
      <c r="D3" s="443"/>
      <c r="E3" s="443"/>
      <c r="F3" s="443"/>
      <c r="G3" s="443"/>
      <c r="H3" s="443"/>
      <c r="I3" s="443"/>
      <c r="J3" s="443"/>
      <c r="K3" s="443"/>
      <c r="L3" s="443"/>
      <c r="M3" s="443"/>
      <c r="N3" s="443"/>
      <c r="O3" s="443"/>
      <c r="P3" s="443"/>
      <c r="Q3" s="443"/>
      <c r="R3" s="443"/>
      <c r="S3" s="443"/>
      <c r="T3" s="443"/>
      <c r="U3" s="443"/>
      <c r="V3" s="443"/>
      <c r="W3" s="443"/>
      <c r="X3" s="443"/>
      <c r="Y3" s="443"/>
      <c r="Z3" s="443"/>
      <c r="AA3" s="444"/>
      <c r="AB3" s="445" t="s">
        <v>2</v>
      </c>
      <c r="AC3" s="446"/>
      <c r="AD3" s="446"/>
      <c r="AE3" s="446"/>
      <c r="AF3" s="446"/>
      <c r="AG3" s="447"/>
    </row>
    <row r="4" spans="1:38" ht="15.75" customHeight="1">
      <c r="A4" s="448" t="s">
        <v>3</v>
      </c>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50"/>
      <c r="AB4" s="451"/>
      <c r="AC4" s="452"/>
      <c r="AD4" s="452"/>
      <c r="AE4" s="452"/>
      <c r="AF4" s="452"/>
      <c r="AG4" s="453"/>
    </row>
    <row r="5" spans="1:38" ht="15" customHeight="1">
      <c r="A5" s="454" t="s">
        <v>4</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6"/>
      <c r="AB5" s="460" t="s">
        <v>5</v>
      </c>
      <c r="AC5" s="461"/>
      <c r="AD5" s="461"/>
      <c r="AE5" s="461"/>
      <c r="AF5" s="461"/>
      <c r="AG5" s="462"/>
    </row>
    <row r="6" spans="1:38" ht="15" customHeight="1">
      <c r="A6" s="454"/>
      <c r="B6" s="455"/>
      <c r="C6" s="455"/>
      <c r="D6" s="455"/>
      <c r="E6" s="455"/>
      <c r="F6" s="455"/>
      <c r="G6" s="455"/>
      <c r="H6" s="455"/>
      <c r="I6" s="455"/>
      <c r="J6" s="455"/>
      <c r="K6" s="455"/>
      <c r="L6" s="455"/>
      <c r="M6" s="455"/>
      <c r="N6" s="455"/>
      <c r="O6" s="455"/>
      <c r="P6" s="455"/>
      <c r="Q6" s="455"/>
      <c r="R6" s="455"/>
      <c r="S6" s="455"/>
      <c r="T6" s="455"/>
      <c r="U6" s="455"/>
      <c r="V6" s="455"/>
      <c r="W6" s="455"/>
      <c r="X6" s="455"/>
      <c r="Y6" s="455"/>
      <c r="Z6" s="455"/>
      <c r="AA6" s="456"/>
      <c r="AB6" s="463" t="s">
        <v>6</v>
      </c>
      <c r="AC6" s="464"/>
      <c r="AD6" s="464"/>
      <c r="AE6" s="464"/>
      <c r="AF6" s="464"/>
      <c r="AG6" s="465"/>
    </row>
    <row r="7" spans="1:38" ht="15.6" customHeight="1" thickBot="1">
      <c r="A7" s="457"/>
      <c r="B7" s="458"/>
      <c r="C7" s="458"/>
      <c r="D7" s="458"/>
      <c r="E7" s="458"/>
      <c r="F7" s="458"/>
      <c r="G7" s="458"/>
      <c r="H7" s="458"/>
      <c r="I7" s="458"/>
      <c r="J7" s="458"/>
      <c r="K7" s="458"/>
      <c r="L7" s="458"/>
      <c r="M7" s="458"/>
      <c r="N7" s="458"/>
      <c r="O7" s="458"/>
      <c r="P7" s="458"/>
      <c r="Q7" s="458"/>
      <c r="R7" s="458"/>
      <c r="S7" s="458"/>
      <c r="T7" s="458"/>
      <c r="U7" s="458"/>
      <c r="V7" s="458"/>
      <c r="W7" s="458"/>
      <c r="X7" s="458"/>
      <c r="Y7" s="458"/>
      <c r="Z7" s="458"/>
      <c r="AA7" s="459"/>
      <c r="AB7" s="466"/>
      <c r="AC7" s="466"/>
      <c r="AD7" s="466"/>
      <c r="AE7" s="466"/>
      <c r="AF7" s="466"/>
      <c r="AG7" s="467"/>
    </row>
    <row r="8" spans="1:38" s="5" customFormat="1" ht="9.75" customHeight="1">
      <c r="A8" s="468" t="s">
        <v>7</v>
      </c>
      <c r="B8" s="469"/>
      <c r="C8" s="470"/>
      <c r="D8" s="3"/>
      <c r="E8" s="477"/>
      <c r="F8" s="478"/>
      <c r="G8" s="478"/>
      <c r="H8" s="478"/>
      <c r="I8" s="478"/>
      <c r="J8" s="478"/>
      <c r="K8" s="478"/>
      <c r="L8" s="478"/>
      <c r="M8" s="478"/>
      <c r="N8" s="478"/>
      <c r="O8" s="478"/>
      <c r="P8" s="478"/>
      <c r="Q8" s="478"/>
      <c r="R8" s="478"/>
      <c r="S8" s="478"/>
      <c r="T8" s="478"/>
      <c r="U8" s="478"/>
      <c r="V8" s="478"/>
      <c r="W8" s="478"/>
      <c r="X8" s="478"/>
      <c r="Y8" s="478"/>
      <c r="Z8" s="478"/>
      <c r="AA8" s="478"/>
      <c r="AB8" s="478"/>
      <c r="AC8" s="478"/>
      <c r="AD8" s="478"/>
      <c r="AE8" s="478"/>
      <c r="AF8" s="478"/>
      <c r="AG8" s="479"/>
      <c r="AH8" s="4"/>
    </row>
    <row r="9" spans="1:38" s="5" customFormat="1" ht="13.8">
      <c r="A9" s="471"/>
      <c r="B9" s="472"/>
      <c r="C9" s="473"/>
      <c r="D9" s="1"/>
      <c r="E9" s="6"/>
      <c r="F9" s="7"/>
      <c r="G9" s="8"/>
      <c r="H9" s="1" t="s">
        <v>8</v>
      </c>
      <c r="I9" s="1"/>
      <c r="J9" s="1"/>
      <c r="K9" s="1"/>
      <c r="L9" s="8"/>
      <c r="M9" s="1" t="s">
        <v>9</v>
      </c>
      <c r="N9" s="7"/>
      <c r="O9" s="1"/>
      <c r="P9" s="1"/>
      <c r="Q9" s="1"/>
      <c r="R9" s="1"/>
      <c r="S9" s="8"/>
      <c r="T9" s="1" t="s">
        <v>10</v>
      </c>
      <c r="U9" s="7"/>
      <c r="V9" s="1"/>
      <c r="W9" s="9" t="s">
        <v>11</v>
      </c>
      <c r="X9" s="1" t="s">
        <v>12</v>
      </c>
      <c r="Y9" s="1"/>
      <c r="AC9" s="1"/>
      <c r="AD9" s="1"/>
      <c r="AE9" s="7"/>
      <c r="AF9" s="7"/>
      <c r="AG9" s="10"/>
      <c r="AH9" s="4"/>
      <c r="AL9" s="5">
        <v>632</v>
      </c>
    </row>
    <row r="10" spans="1:38" s="5" customFormat="1" ht="14.25" customHeight="1" thickBot="1">
      <c r="A10" s="474"/>
      <c r="B10" s="475"/>
      <c r="C10" s="476"/>
      <c r="D10" s="11"/>
      <c r="E10" s="12"/>
      <c r="F10" s="13"/>
      <c r="G10" s="13"/>
      <c r="H10" s="13"/>
      <c r="I10" s="11"/>
      <c r="J10" s="480"/>
      <c r="K10" s="480"/>
      <c r="L10" s="480"/>
      <c r="M10" s="480"/>
      <c r="N10" s="13"/>
      <c r="O10" s="480"/>
      <c r="P10" s="480"/>
      <c r="Q10" s="480"/>
      <c r="R10" s="480"/>
      <c r="S10" s="480"/>
      <c r="T10" s="480"/>
      <c r="U10" s="13"/>
      <c r="V10" s="13"/>
      <c r="W10" s="13"/>
      <c r="X10" s="13"/>
      <c r="Y10" s="13"/>
      <c r="Z10" s="13"/>
      <c r="AA10" s="14" t="s">
        <v>13</v>
      </c>
      <c r="AB10" s="13"/>
      <c r="AC10" s="13"/>
      <c r="AD10" s="13"/>
      <c r="AE10" s="13"/>
      <c r="AF10" s="13"/>
      <c r="AG10" s="15"/>
      <c r="AH10" s="4"/>
    </row>
    <row r="11" spans="1:38" s="5" customFormat="1" ht="15" customHeight="1">
      <c r="A11" s="468" t="s">
        <v>14</v>
      </c>
      <c r="B11" s="469"/>
      <c r="C11" s="470"/>
      <c r="D11" s="16"/>
      <c r="E11" s="518" t="s">
        <v>227</v>
      </c>
      <c r="F11" s="519"/>
      <c r="G11" s="519"/>
      <c r="H11" s="519"/>
      <c r="I11" s="519"/>
      <c r="J11" s="519"/>
      <c r="K11" s="519"/>
      <c r="L11" s="519"/>
      <c r="M11" s="519"/>
      <c r="N11" s="519"/>
      <c r="O11" s="519"/>
      <c r="P11" s="519"/>
      <c r="Q11" s="519"/>
      <c r="R11" s="520"/>
      <c r="S11" s="524" t="s">
        <v>15</v>
      </c>
      <c r="T11" s="478"/>
      <c r="U11" s="478"/>
      <c r="V11" s="478"/>
      <c r="W11" s="478"/>
      <c r="X11" s="478"/>
      <c r="Y11" s="478"/>
      <c r="Z11" s="478"/>
      <c r="AA11" s="525"/>
      <c r="AB11" s="438" t="s">
        <v>16</v>
      </c>
      <c r="AC11" s="439"/>
      <c r="AD11" s="439"/>
      <c r="AE11" s="439"/>
      <c r="AF11" s="439"/>
      <c r="AG11" s="440"/>
      <c r="AH11" s="17"/>
    </row>
    <row r="12" spans="1:38" s="5" customFormat="1" ht="10.5" customHeight="1">
      <c r="A12" s="471"/>
      <c r="B12" s="472"/>
      <c r="C12" s="473"/>
      <c r="D12" s="1"/>
      <c r="E12" s="521"/>
      <c r="F12" s="522"/>
      <c r="G12" s="522"/>
      <c r="H12" s="522"/>
      <c r="I12" s="522"/>
      <c r="J12" s="522"/>
      <c r="K12" s="522"/>
      <c r="L12" s="522"/>
      <c r="M12" s="522"/>
      <c r="N12" s="522"/>
      <c r="O12" s="522"/>
      <c r="P12" s="522"/>
      <c r="Q12" s="522"/>
      <c r="R12" s="523"/>
      <c r="S12" s="481"/>
      <c r="T12" s="482"/>
      <c r="U12" s="482"/>
      <c r="V12" s="482"/>
      <c r="W12" s="482"/>
      <c r="X12" s="482"/>
      <c r="Y12" s="482"/>
      <c r="Z12" s="482"/>
      <c r="AA12" s="483"/>
      <c r="AB12" s="484"/>
      <c r="AC12" s="485"/>
      <c r="AD12" s="485"/>
      <c r="AE12" s="485"/>
      <c r="AF12" s="485"/>
      <c r="AG12" s="486"/>
      <c r="AH12" s="4"/>
    </row>
    <row r="13" spans="1:38" s="5" customFormat="1" ht="12" customHeight="1">
      <c r="A13" s="503" t="s">
        <v>17</v>
      </c>
      <c r="B13" s="504"/>
      <c r="C13" s="505"/>
      <c r="D13" s="1"/>
      <c r="E13" s="509" t="s">
        <v>18</v>
      </c>
      <c r="F13" s="510"/>
      <c r="G13" s="510"/>
      <c r="H13" s="510"/>
      <c r="I13" s="510"/>
      <c r="J13" s="510"/>
      <c r="K13" s="510"/>
      <c r="L13" s="510"/>
      <c r="M13" s="510"/>
      <c r="N13" s="510"/>
      <c r="O13" s="510"/>
      <c r="P13" s="510"/>
      <c r="Q13" s="510"/>
      <c r="R13" s="510"/>
      <c r="S13" s="510"/>
      <c r="T13" s="510"/>
      <c r="U13" s="510"/>
      <c r="V13" s="510"/>
      <c r="W13" s="510"/>
      <c r="X13" s="510"/>
      <c r="Y13" s="510"/>
      <c r="Z13" s="510"/>
      <c r="AA13" s="510"/>
      <c r="AB13" s="510"/>
      <c r="AC13" s="510"/>
      <c r="AD13" s="510"/>
      <c r="AE13" s="510"/>
      <c r="AF13" s="510"/>
      <c r="AG13" s="511"/>
      <c r="AH13" s="4"/>
    </row>
    <row r="14" spans="1:38" s="5" customFormat="1" ht="12" customHeight="1" thickBot="1">
      <c r="A14" s="506"/>
      <c r="B14" s="507"/>
      <c r="C14" s="508"/>
      <c r="D14" s="11"/>
      <c r="E14" s="512"/>
      <c r="F14" s="513"/>
      <c r="G14" s="513"/>
      <c r="H14" s="513"/>
      <c r="I14" s="513"/>
      <c r="J14" s="513"/>
      <c r="K14" s="513"/>
      <c r="L14" s="513"/>
      <c r="M14" s="513"/>
      <c r="N14" s="513"/>
      <c r="O14" s="513"/>
      <c r="P14" s="513"/>
      <c r="Q14" s="513"/>
      <c r="R14" s="513"/>
      <c r="S14" s="513"/>
      <c r="T14" s="513"/>
      <c r="U14" s="513"/>
      <c r="V14" s="513"/>
      <c r="W14" s="513"/>
      <c r="X14" s="513"/>
      <c r="Y14" s="513"/>
      <c r="Z14" s="513"/>
      <c r="AA14" s="513"/>
      <c r="AB14" s="513"/>
      <c r="AC14" s="513"/>
      <c r="AD14" s="513"/>
      <c r="AE14" s="513"/>
      <c r="AF14" s="513"/>
      <c r="AG14" s="514"/>
      <c r="AH14" s="18"/>
    </row>
    <row r="15" spans="1:38" s="20" customFormat="1" ht="28.2" customHeight="1">
      <c r="A15" s="515" t="s">
        <v>19</v>
      </c>
      <c r="B15" s="488"/>
      <c r="C15" s="488"/>
      <c r="D15" s="488"/>
      <c r="E15" s="488"/>
      <c r="F15" s="488"/>
      <c r="G15" s="488"/>
      <c r="H15" s="488"/>
      <c r="I15" s="488"/>
      <c r="J15" s="488"/>
      <c r="K15" s="488"/>
      <c r="L15" s="488"/>
      <c r="M15" s="488"/>
      <c r="N15" s="488"/>
      <c r="O15" s="488"/>
      <c r="P15" s="488"/>
      <c r="Q15" s="489"/>
      <c r="R15" s="487" t="s">
        <v>20</v>
      </c>
      <c r="S15" s="516"/>
      <c r="T15" s="516"/>
      <c r="U15" s="516"/>
      <c r="V15" s="517"/>
      <c r="W15" s="487" t="s">
        <v>21</v>
      </c>
      <c r="X15" s="488"/>
      <c r="Y15" s="488"/>
      <c r="Z15" s="488"/>
      <c r="AA15" s="489"/>
      <c r="AB15" s="487" t="s">
        <v>22</v>
      </c>
      <c r="AC15" s="488"/>
      <c r="AD15" s="488"/>
      <c r="AE15" s="488"/>
      <c r="AF15" s="488"/>
      <c r="AG15" s="490"/>
      <c r="AH15" s="19"/>
    </row>
    <row r="16" spans="1:38" s="5" customFormat="1" ht="13.8">
      <c r="A16" s="498">
        <v>2025</v>
      </c>
      <c r="B16" s="499"/>
      <c r="C16" s="499"/>
      <c r="D16" s="499"/>
      <c r="E16" s="499"/>
      <c r="F16" s="499"/>
      <c r="G16" s="499"/>
      <c r="H16" s="499"/>
      <c r="I16" s="499"/>
      <c r="J16" s="499"/>
      <c r="K16" s="499"/>
      <c r="L16" s="499"/>
      <c r="M16" s="499"/>
      <c r="N16" s="499"/>
      <c r="O16" s="499"/>
      <c r="P16" s="499"/>
      <c r="Q16" s="500"/>
      <c r="R16" s="21"/>
      <c r="S16" s="22"/>
      <c r="T16" s="22"/>
      <c r="U16" s="22"/>
      <c r="V16" s="23"/>
      <c r="W16" s="21"/>
      <c r="X16" s="22"/>
      <c r="Y16" s="22"/>
      <c r="Z16" s="22"/>
      <c r="AA16" s="23"/>
      <c r="AB16" s="24"/>
      <c r="AC16" s="25"/>
      <c r="AD16" s="25"/>
      <c r="AE16" s="25"/>
      <c r="AF16" s="25"/>
      <c r="AG16" s="26"/>
      <c r="AH16" s="4"/>
    </row>
    <row r="17" spans="1:35" s="5" customFormat="1" ht="15.75" customHeight="1">
      <c r="A17" s="529" t="s">
        <v>264</v>
      </c>
      <c r="B17" s="530"/>
      <c r="C17" s="530"/>
      <c r="D17" s="530"/>
      <c r="E17" s="530"/>
      <c r="F17" s="530"/>
      <c r="G17" s="530"/>
      <c r="H17" s="530"/>
      <c r="I17" s="530"/>
      <c r="J17" s="530"/>
      <c r="K17" s="530"/>
      <c r="L17" s="530"/>
      <c r="M17" s="530"/>
      <c r="N17" s="530"/>
      <c r="O17" s="530"/>
      <c r="P17" s="530"/>
      <c r="Q17" s="531"/>
      <c r="R17" s="27"/>
      <c r="S17"/>
      <c r="T17"/>
      <c r="U17"/>
      <c r="V17" s="28"/>
      <c r="W17" s="27"/>
      <c r="X17"/>
      <c r="Y17"/>
      <c r="Z17"/>
      <c r="AA17" s="28"/>
      <c r="AB17" s="6"/>
      <c r="AC17" s="7"/>
      <c r="AD17" s="7"/>
      <c r="AE17" s="7"/>
      <c r="AF17" s="7"/>
      <c r="AG17" s="10"/>
      <c r="AH17" s="4"/>
    </row>
    <row r="18" spans="1:35" s="5" customFormat="1" ht="15" customHeight="1">
      <c r="A18" s="529"/>
      <c r="B18" s="530"/>
      <c r="C18" s="530"/>
      <c r="D18" s="530"/>
      <c r="E18" s="530"/>
      <c r="F18" s="530"/>
      <c r="G18" s="530"/>
      <c r="H18" s="530"/>
      <c r="I18" s="530"/>
      <c r="J18" s="530"/>
      <c r="K18" s="530"/>
      <c r="L18" s="530"/>
      <c r="M18" s="530"/>
      <c r="N18" s="530"/>
      <c r="O18" s="530"/>
      <c r="P18" s="530"/>
      <c r="Q18" s="531"/>
      <c r="R18" s="27"/>
      <c r="S18"/>
      <c r="T18"/>
      <c r="U18"/>
      <c r="V18" s="28"/>
      <c r="W18" s="27"/>
      <c r="X18"/>
      <c r="Y18"/>
      <c r="Z18"/>
      <c r="AA18" s="28"/>
      <c r="AG18" s="4"/>
      <c r="AH18" s="4"/>
    </row>
    <row r="19" spans="1:35" s="5" customFormat="1" ht="13.8">
      <c r="A19" s="529"/>
      <c r="B19" s="530"/>
      <c r="C19" s="530"/>
      <c r="D19" s="530"/>
      <c r="E19" s="530"/>
      <c r="F19" s="530"/>
      <c r="G19" s="530"/>
      <c r="H19" s="530"/>
      <c r="I19" s="530"/>
      <c r="J19" s="530"/>
      <c r="K19" s="530"/>
      <c r="L19" s="530"/>
      <c r="M19" s="530"/>
      <c r="N19" s="530"/>
      <c r="O19" s="530"/>
      <c r="P19" s="530"/>
      <c r="Q19" s="531"/>
      <c r="R19" s="27"/>
      <c r="S19"/>
      <c r="T19"/>
      <c r="U19"/>
      <c r="V19" s="28"/>
      <c r="W19" s="27"/>
      <c r="X19"/>
      <c r="Y19"/>
      <c r="Z19"/>
      <c r="AA19" s="28"/>
      <c r="AB19" s="501" t="s">
        <v>23</v>
      </c>
      <c r="AC19" s="502"/>
      <c r="AD19" s="29"/>
      <c r="AE19" s="532">
        <f>'IT (2)'!J40</f>
        <v>540</v>
      </c>
      <c r="AF19" s="533"/>
      <c r="AG19" s="534"/>
      <c r="AH19" s="4"/>
    </row>
    <row r="20" spans="1:35" s="5" customFormat="1" ht="13.8">
      <c r="A20" s="529"/>
      <c r="B20" s="530"/>
      <c r="C20" s="530"/>
      <c r="D20" s="530"/>
      <c r="E20" s="530"/>
      <c r="F20" s="530"/>
      <c r="G20" s="530"/>
      <c r="H20" s="530"/>
      <c r="I20" s="530"/>
      <c r="J20" s="530"/>
      <c r="K20" s="530"/>
      <c r="L20" s="530"/>
      <c r="M20" s="530"/>
      <c r="N20" s="530"/>
      <c r="O20" s="530"/>
      <c r="P20" s="530"/>
      <c r="Q20" s="531"/>
      <c r="R20" s="27"/>
      <c r="S20"/>
      <c r="T20"/>
      <c r="U20"/>
      <c r="V20" s="28"/>
      <c r="W20" s="27"/>
      <c r="X20"/>
      <c r="Y20"/>
      <c r="Z20"/>
      <c r="AA20" s="28"/>
      <c r="AB20" s="30"/>
      <c r="AC20" s="30"/>
      <c r="AD20" s="30"/>
      <c r="AE20" s="30"/>
      <c r="AF20" s="30"/>
      <c r="AG20" s="31"/>
      <c r="AH20" s="4"/>
    </row>
    <row r="21" spans="1:35" s="5" customFormat="1" ht="13.8">
      <c r="A21" s="529"/>
      <c r="B21" s="530"/>
      <c r="C21" s="530"/>
      <c r="D21" s="530"/>
      <c r="E21" s="530"/>
      <c r="F21" s="530"/>
      <c r="G21" s="530"/>
      <c r="H21" s="530"/>
      <c r="I21" s="530"/>
      <c r="J21" s="530"/>
      <c r="K21" s="530"/>
      <c r="L21" s="530"/>
      <c r="M21" s="530"/>
      <c r="N21" s="530"/>
      <c r="O21" s="530"/>
      <c r="P21" s="530"/>
      <c r="Q21" s="531"/>
      <c r="R21" s="27"/>
      <c r="S21"/>
      <c r="T21"/>
      <c r="U21"/>
      <c r="V21" s="28"/>
      <c r="W21" s="27"/>
      <c r="X21"/>
      <c r="Y21"/>
      <c r="Z21"/>
      <c r="AA21" s="28"/>
      <c r="AB21" s="32"/>
      <c r="AC21" s="29"/>
      <c r="AD21" s="29"/>
      <c r="AE21" s="29"/>
      <c r="AF21" s="29"/>
      <c r="AG21" s="33"/>
      <c r="AH21" s="4"/>
    </row>
    <row r="22" spans="1:35" s="5" customFormat="1" ht="13.8">
      <c r="A22" s="529"/>
      <c r="B22" s="530"/>
      <c r="C22" s="530"/>
      <c r="D22" s="530"/>
      <c r="E22" s="530"/>
      <c r="F22" s="530"/>
      <c r="G22" s="530"/>
      <c r="H22" s="530"/>
      <c r="I22" s="530"/>
      <c r="J22" s="530"/>
      <c r="K22" s="530"/>
      <c r="L22" s="530"/>
      <c r="M22" s="530"/>
      <c r="N22" s="530"/>
      <c r="O22" s="530"/>
      <c r="P22" s="530"/>
      <c r="Q22" s="531"/>
      <c r="R22" s="27"/>
      <c r="S22"/>
      <c r="T22"/>
      <c r="U22"/>
      <c r="V22" s="28"/>
      <c r="W22" s="27"/>
      <c r="X22"/>
      <c r="Y22"/>
      <c r="Z22"/>
      <c r="AA22" s="28"/>
      <c r="AB22" s="32"/>
      <c r="AC22" s="29"/>
      <c r="AD22" s="29"/>
      <c r="AE22" s="29"/>
      <c r="AF22" s="29"/>
      <c r="AG22" s="33"/>
      <c r="AH22" s="4"/>
    </row>
    <row r="23" spans="1:35" s="5" customFormat="1" ht="13.8">
      <c r="A23" s="529"/>
      <c r="B23" s="530"/>
      <c r="C23" s="530"/>
      <c r="D23" s="530"/>
      <c r="E23" s="530"/>
      <c r="F23" s="530"/>
      <c r="G23" s="530"/>
      <c r="H23" s="530"/>
      <c r="I23" s="530"/>
      <c r="J23" s="530"/>
      <c r="K23" s="530"/>
      <c r="L23" s="530"/>
      <c r="M23" s="530"/>
      <c r="N23" s="530"/>
      <c r="O23" s="530"/>
      <c r="P23" s="530"/>
      <c r="Q23" s="531"/>
      <c r="R23" s="27"/>
      <c r="S23"/>
      <c r="T23"/>
      <c r="U23"/>
      <c r="V23" s="28"/>
      <c r="W23" s="27"/>
      <c r="X23"/>
      <c r="Y23"/>
      <c r="Z23"/>
      <c r="AA23" s="28"/>
      <c r="AB23" s="32"/>
      <c r="AC23" s="29"/>
      <c r="AD23" s="29"/>
      <c r="AE23" s="29"/>
      <c r="AF23" s="29"/>
      <c r="AG23" s="33"/>
      <c r="AH23" s="4"/>
    </row>
    <row r="24" spans="1:35" s="5" customFormat="1" ht="13.8">
      <c r="A24" s="529"/>
      <c r="B24" s="530"/>
      <c r="C24" s="530"/>
      <c r="D24" s="530"/>
      <c r="E24" s="530"/>
      <c r="F24" s="530"/>
      <c r="G24" s="530"/>
      <c r="H24" s="530"/>
      <c r="I24" s="530"/>
      <c r="J24" s="530"/>
      <c r="K24" s="530"/>
      <c r="L24" s="530"/>
      <c r="M24" s="530"/>
      <c r="N24" s="530"/>
      <c r="O24" s="530"/>
      <c r="P24" s="530"/>
      <c r="Q24" s="531"/>
      <c r="R24" s="27"/>
      <c r="S24"/>
      <c r="T24"/>
      <c r="U24"/>
      <c r="V24" s="28"/>
      <c r="W24" s="27"/>
      <c r="X24"/>
      <c r="Y24"/>
      <c r="Z24"/>
      <c r="AA24" s="28"/>
      <c r="AB24" s="32"/>
      <c r="AC24" s="29"/>
      <c r="AD24" s="29"/>
      <c r="AE24" s="29"/>
      <c r="AF24" s="29"/>
      <c r="AG24" s="33"/>
      <c r="AH24" s="4"/>
    </row>
    <row r="25" spans="1:35" s="5" customFormat="1" ht="13.8">
      <c r="A25" s="529"/>
      <c r="B25" s="530"/>
      <c r="C25" s="530"/>
      <c r="D25" s="530"/>
      <c r="E25" s="530"/>
      <c r="F25" s="530"/>
      <c r="G25" s="530"/>
      <c r="H25" s="530"/>
      <c r="I25" s="530"/>
      <c r="J25" s="530"/>
      <c r="K25" s="530"/>
      <c r="L25" s="530"/>
      <c r="M25" s="530"/>
      <c r="N25" s="530"/>
      <c r="O25" s="530"/>
      <c r="P25" s="530"/>
      <c r="Q25" s="531"/>
      <c r="R25" s="27"/>
      <c r="S25"/>
      <c r="T25"/>
      <c r="U25"/>
      <c r="V25" s="28"/>
      <c r="W25" s="27"/>
      <c r="X25"/>
      <c r="Y25"/>
      <c r="Z25"/>
      <c r="AA25" s="28"/>
      <c r="AB25" s="32"/>
      <c r="AC25" s="29"/>
      <c r="AD25" s="29"/>
      <c r="AE25" s="29"/>
      <c r="AF25" s="29"/>
      <c r="AG25" s="33"/>
      <c r="AH25" s="4"/>
    </row>
    <row r="26" spans="1:35" s="5" customFormat="1" ht="16.5" customHeight="1" thickBot="1">
      <c r="A26" s="491" t="s">
        <v>24</v>
      </c>
      <c r="B26" s="437"/>
      <c r="C26" s="437"/>
      <c r="D26" s="437"/>
      <c r="E26" s="437"/>
      <c r="F26" s="437"/>
      <c r="G26" s="437"/>
      <c r="H26" s="437"/>
      <c r="I26" s="437"/>
      <c r="J26" s="437"/>
      <c r="K26" s="437"/>
      <c r="L26" s="437"/>
      <c r="M26" s="437"/>
      <c r="N26" s="437"/>
      <c r="O26" s="437"/>
      <c r="P26" s="437"/>
      <c r="Q26" s="492"/>
      <c r="R26" s="34"/>
      <c r="S26" s="35"/>
      <c r="T26" s="35"/>
      <c r="U26" s="35"/>
      <c r="V26" s="36"/>
      <c r="W26" s="34"/>
      <c r="X26" s="35"/>
      <c r="Y26" s="35"/>
      <c r="Z26" s="35"/>
      <c r="AA26" s="36"/>
      <c r="AB26" s="493" t="s">
        <v>25</v>
      </c>
      <c r="AC26" s="494"/>
      <c r="AD26" s="494"/>
      <c r="AE26" s="495">
        <f>AE19</f>
        <v>540</v>
      </c>
      <c r="AF26" s="496"/>
      <c r="AG26" s="497"/>
      <c r="AH26" s="4"/>
      <c r="AI26" s="37"/>
    </row>
    <row r="27" spans="1:35" s="5" customFormat="1" ht="13.95" customHeight="1">
      <c r="A27" s="38" t="s">
        <v>26</v>
      </c>
      <c r="B27" s="526" t="s">
        <v>27</v>
      </c>
      <c r="C27" s="526"/>
      <c r="D27" s="526"/>
      <c r="E27" s="526"/>
      <c r="F27" s="526"/>
      <c r="G27" s="526"/>
      <c r="H27" s="526"/>
      <c r="I27" s="526"/>
      <c r="J27" s="526"/>
      <c r="K27" s="526"/>
      <c r="L27" s="526"/>
      <c r="M27" s="526"/>
      <c r="N27" s="526"/>
      <c r="O27" s="526"/>
      <c r="P27" s="526"/>
      <c r="Q27" s="526"/>
      <c r="R27" s="526"/>
      <c r="S27" s="526"/>
      <c r="T27" s="526"/>
      <c r="U27" s="526"/>
      <c r="V27" s="526"/>
      <c r="W27" s="526"/>
      <c r="X27" s="526"/>
      <c r="Y27" s="526"/>
      <c r="Z27" s="526"/>
      <c r="AA27" s="526"/>
      <c r="AB27" s="527"/>
      <c r="AC27" s="527"/>
      <c r="AD27" s="527"/>
      <c r="AE27" s="527"/>
      <c r="AF27" s="527"/>
      <c r="AG27" s="528"/>
      <c r="AH27" s="4"/>
      <c r="AI27" s="37" t="s">
        <v>68</v>
      </c>
    </row>
    <row r="28" spans="1:35" s="5" customFormat="1" ht="15.75" customHeight="1">
      <c r="A28" s="39"/>
      <c r="B28" s="40"/>
      <c r="C28" s="40"/>
      <c r="D28" s="40"/>
      <c r="E28" s="7" t="s">
        <v>28</v>
      </c>
      <c r="F28" s="7"/>
      <c r="G28" s="7"/>
      <c r="H28" s="7"/>
      <c r="I28" s="7"/>
      <c r="J28" s="7"/>
      <c r="K28" s="7"/>
      <c r="L28" s="7"/>
      <c r="M28" s="7"/>
      <c r="N28" s="7"/>
      <c r="O28" s="7"/>
      <c r="P28" s="7"/>
      <c r="Q28" s="7"/>
      <c r="R28" s="40"/>
      <c r="S28" s="40"/>
      <c r="T28" s="41"/>
      <c r="U28" s="41"/>
      <c r="V28" s="41"/>
      <c r="W28" s="41"/>
      <c r="X28" s="41"/>
      <c r="Y28" s="1"/>
      <c r="Z28" s="41"/>
      <c r="AA28" s="41"/>
      <c r="AB28" s="42"/>
      <c r="AC28" s="43"/>
      <c r="AD28" s="43"/>
      <c r="AE28" s="43"/>
      <c r="AF28" s="43"/>
      <c r="AG28" s="44"/>
      <c r="AH28" s="4"/>
      <c r="AI28" s="37"/>
    </row>
    <row r="29" spans="1:35" s="5" customFormat="1" ht="15.75" customHeight="1">
      <c r="A29" s="535" t="str">
        <f>'IT (2)'!A50:D50</f>
        <v>MARK JUBEN M. PILAPIL</v>
      </c>
      <c r="B29" s="536"/>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7"/>
      <c r="AH29" s="4"/>
      <c r="AI29" s="37"/>
    </row>
    <row r="30" spans="1:35" s="5" customFormat="1" ht="13.8">
      <c r="A30" s="538" t="s">
        <v>265</v>
      </c>
      <c r="B30" s="539"/>
      <c r="C30" s="539"/>
      <c r="D30" s="539"/>
      <c r="E30" s="539"/>
      <c r="F30" s="539"/>
      <c r="G30" s="539"/>
      <c r="H30" s="539"/>
      <c r="I30" s="539"/>
      <c r="J30" s="539"/>
      <c r="K30" s="539"/>
      <c r="L30" s="539"/>
      <c r="M30" s="539"/>
      <c r="N30" s="539"/>
      <c r="O30" s="539"/>
      <c r="P30" s="539"/>
      <c r="Q30" s="539"/>
      <c r="R30" s="539"/>
      <c r="S30" s="539"/>
      <c r="T30" s="539"/>
      <c r="U30" s="539"/>
      <c r="V30" s="539"/>
      <c r="W30" s="539"/>
      <c r="X30" s="539"/>
      <c r="Y30" s="539"/>
      <c r="Z30" s="539"/>
      <c r="AA30" s="539"/>
      <c r="AB30" s="539"/>
      <c r="AC30" s="539"/>
      <c r="AD30" s="539"/>
      <c r="AE30" s="539"/>
      <c r="AF30" s="539"/>
      <c r="AG30" s="540"/>
      <c r="AH30" s="4"/>
      <c r="AI30" s="37"/>
    </row>
    <row r="31" spans="1:35" s="5" customFormat="1" ht="13.8">
      <c r="A31" s="538" t="s">
        <v>29</v>
      </c>
      <c r="B31" s="539"/>
      <c r="C31" s="539"/>
      <c r="D31" s="539"/>
      <c r="E31" s="539"/>
      <c r="F31" s="539"/>
      <c r="G31" s="539"/>
      <c r="H31" s="539"/>
      <c r="I31" s="539"/>
      <c r="J31" s="539"/>
      <c r="K31" s="539"/>
      <c r="L31" s="539"/>
      <c r="M31" s="539"/>
      <c r="N31" s="539"/>
      <c r="O31" s="539"/>
      <c r="P31" s="539"/>
      <c r="Q31" s="539"/>
      <c r="R31" s="539"/>
      <c r="S31" s="539"/>
      <c r="T31" s="539"/>
      <c r="U31" s="539"/>
      <c r="V31" s="539"/>
      <c r="W31" s="539"/>
      <c r="X31" s="539"/>
      <c r="Y31" s="539"/>
      <c r="Z31" s="539"/>
      <c r="AA31" s="539"/>
      <c r="AB31" s="539"/>
      <c r="AC31" s="539"/>
      <c r="AD31" s="539"/>
      <c r="AE31" s="539"/>
      <c r="AF31" s="539"/>
      <c r="AG31" s="540"/>
      <c r="AH31" s="4"/>
      <c r="AI31" s="37"/>
    </row>
    <row r="32" spans="1:35" s="5" customFormat="1" ht="14.4" thickBot="1">
      <c r="A32" s="45"/>
      <c r="B32" s="1"/>
      <c r="C32" s="1"/>
      <c r="D32" s="1"/>
      <c r="E32" s="1"/>
      <c r="F32" s="1"/>
      <c r="G32" s="1"/>
      <c r="H32" s="1"/>
      <c r="I32" s="1"/>
      <c r="J32" s="1"/>
      <c r="K32" s="1"/>
      <c r="L32" s="539"/>
      <c r="M32" s="539"/>
      <c r="N32" s="539"/>
      <c r="O32" s="539"/>
      <c r="P32" s="539"/>
      <c r="Q32" s="539"/>
      <c r="R32" s="539"/>
      <c r="S32" s="539"/>
      <c r="T32" s="539"/>
      <c r="U32" s="539"/>
      <c r="V32" s="539"/>
      <c r="W32" s="539"/>
      <c r="X32" s="539"/>
      <c r="Y32" s="1"/>
      <c r="Z32" s="1"/>
      <c r="AA32" s="1"/>
      <c r="AB32" s="1"/>
      <c r="AC32" s="1"/>
      <c r="AD32" s="1"/>
      <c r="AE32" s="1"/>
      <c r="AF32" s="1"/>
      <c r="AG32" s="46"/>
      <c r="AH32" s="4"/>
      <c r="AI32" s="37"/>
    </row>
    <row r="33" spans="1:35" s="5" customFormat="1" ht="15.75" customHeight="1">
      <c r="A33" s="47" t="s">
        <v>30</v>
      </c>
      <c r="B33" s="48" t="s">
        <v>31</v>
      </c>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50"/>
      <c r="AH33" s="4"/>
      <c r="AI33" s="37"/>
    </row>
    <row r="34" spans="1:35" s="5" customFormat="1" ht="15.75" customHeight="1">
      <c r="A34" s="544" t="s">
        <v>32</v>
      </c>
      <c r="B34" s="545"/>
      <c r="C34" s="545"/>
      <c r="D34" s="545"/>
      <c r="E34" s="545"/>
      <c r="F34" s="545"/>
      <c r="G34" s="545"/>
      <c r="H34" s="545"/>
      <c r="I34" s="545"/>
      <c r="J34" s="545"/>
      <c r="K34" s="545"/>
      <c r="L34" s="545"/>
      <c r="M34" s="545"/>
      <c r="N34" s="545"/>
      <c r="O34" s="545"/>
      <c r="P34" s="545"/>
      <c r="Q34" s="545"/>
      <c r="R34" s="545"/>
      <c r="S34" s="545" t="s">
        <v>33</v>
      </c>
      <c r="T34" s="545"/>
      <c r="U34" s="545"/>
      <c r="V34" s="545"/>
      <c r="W34" s="545"/>
      <c r="X34" s="546" t="s">
        <v>34</v>
      </c>
      <c r="Y34" s="546"/>
      <c r="Z34" s="546"/>
      <c r="AA34" s="546"/>
      <c r="AB34" s="546"/>
      <c r="AC34" s="547" t="s">
        <v>35</v>
      </c>
      <c r="AD34" s="547"/>
      <c r="AE34" s="547"/>
      <c r="AF34" s="547"/>
      <c r="AG34" s="548"/>
      <c r="AH34" s="4"/>
      <c r="AI34" s="37"/>
    </row>
    <row r="35" spans="1:35" s="5" customFormat="1" ht="15.75" customHeight="1">
      <c r="A35" s="549"/>
      <c r="B35" s="550"/>
      <c r="C35" s="550"/>
      <c r="D35" s="550"/>
      <c r="E35" s="550"/>
      <c r="F35" s="550"/>
      <c r="G35" s="550"/>
      <c r="H35" s="550"/>
      <c r="I35" s="550"/>
      <c r="J35" s="550"/>
      <c r="K35" s="550"/>
      <c r="L35" s="550"/>
      <c r="M35" s="550"/>
      <c r="N35" s="550"/>
      <c r="O35" s="550"/>
      <c r="P35" s="550"/>
      <c r="Q35" s="550"/>
      <c r="R35" s="551"/>
      <c r="S35" s="552"/>
      <c r="T35" s="553"/>
      <c r="U35" s="553"/>
      <c r="V35" s="553"/>
      <c r="W35" s="554"/>
      <c r="X35" s="555">
        <f>AE26</f>
        <v>540</v>
      </c>
      <c r="Y35" s="556"/>
      <c r="Z35" s="556"/>
      <c r="AA35" s="556"/>
      <c r="AB35" s="557"/>
      <c r="AC35" s="29"/>
      <c r="AD35" s="29"/>
      <c r="AE35" s="29"/>
      <c r="AF35" s="29"/>
      <c r="AG35" s="33"/>
      <c r="AH35" s="4"/>
      <c r="AI35" s="37"/>
    </row>
    <row r="36" spans="1:35" s="5" customFormat="1" ht="15.75" customHeight="1">
      <c r="A36" s="558"/>
      <c r="B36" s="559"/>
      <c r="C36" s="559"/>
      <c r="D36" s="559"/>
      <c r="E36" s="559"/>
      <c r="F36" s="559"/>
      <c r="G36" s="559"/>
      <c r="H36" s="559"/>
      <c r="I36" s="559"/>
      <c r="J36" s="559"/>
      <c r="K36" s="559"/>
      <c r="L36" s="559"/>
      <c r="M36" s="559"/>
      <c r="N36" s="559"/>
      <c r="O36" s="559"/>
      <c r="P36" s="559"/>
      <c r="Q36" s="559"/>
      <c r="R36" s="560"/>
      <c r="S36" s="561"/>
      <c r="T36" s="562"/>
      <c r="U36" s="562"/>
      <c r="V36" s="562"/>
      <c r="W36" s="563"/>
      <c r="X36" s="29"/>
      <c r="Y36" s="29"/>
      <c r="Z36" s="29"/>
      <c r="AA36" s="29"/>
      <c r="AB36" s="51"/>
      <c r="AC36" s="541"/>
      <c r="AD36" s="542"/>
      <c r="AE36" s="542"/>
      <c r="AF36" s="542"/>
      <c r="AG36" s="543"/>
      <c r="AH36" s="4"/>
    </row>
    <row r="37" spans="1:35" s="5" customFormat="1" ht="15.75" customHeight="1" thickBot="1">
      <c r="A37" s="564"/>
      <c r="B37" s="565"/>
      <c r="C37" s="565"/>
      <c r="D37" s="565"/>
      <c r="E37" s="565"/>
      <c r="F37" s="565"/>
      <c r="G37" s="565"/>
      <c r="H37" s="565"/>
      <c r="I37" s="565"/>
      <c r="J37" s="565"/>
      <c r="K37" s="565"/>
      <c r="L37" s="565"/>
      <c r="M37" s="565"/>
      <c r="N37" s="565"/>
      <c r="O37" s="565"/>
      <c r="P37" s="565"/>
      <c r="Q37" s="565"/>
      <c r="R37" s="566"/>
      <c r="S37" s="567"/>
      <c r="T37" s="568"/>
      <c r="U37" s="568"/>
      <c r="V37" s="568"/>
      <c r="W37" s="569"/>
      <c r="X37" s="52"/>
      <c r="Y37" s="52"/>
      <c r="Z37" s="52"/>
      <c r="AA37" s="52"/>
      <c r="AB37" s="53"/>
      <c r="AC37" s="570">
        <f>X35</f>
        <v>540</v>
      </c>
      <c r="AD37" s="571"/>
      <c r="AE37" s="571"/>
      <c r="AF37" s="571"/>
      <c r="AG37" s="572"/>
      <c r="AH37" s="4"/>
    </row>
    <row r="38" spans="1:35" s="5" customFormat="1" ht="15.75" customHeight="1">
      <c r="A38" s="54" t="s">
        <v>36</v>
      </c>
      <c r="B38" s="55" t="s">
        <v>37</v>
      </c>
      <c r="C38" s="55"/>
      <c r="D38" s="55"/>
      <c r="E38" s="56"/>
      <c r="F38" s="56"/>
      <c r="G38" s="56"/>
      <c r="H38" s="56"/>
      <c r="I38" s="56"/>
      <c r="J38" s="56"/>
      <c r="K38" s="56"/>
      <c r="L38" s="56"/>
      <c r="M38" s="56"/>
      <c r="N38" s="56"/>
      <c r="O38" s="56"/>
      <c r="P38" s="56"/>
      <c r="Q38" s="56"/>
      <c r="R38" s="57"/>
      <c r="S38" s="54" t="s">
        <v>38</v>
      </c>
      <c r="T38" s="573" t="s">
        <v>39</v>
      </c>
      <c r="U38" s="573"/>
      <c r="V38" s="573"/>
      <c r="W38" s="573"/>
      <c r="X38" s="573"/>
      <c r="Y38" s="573"/>
      <c r="Z38" s="573"/>
      <c r="AA38" s="573"/>
      <c r="AB38" s="573"/>
      <c r="AC38" s="573"/>
      <c r="AD38" s="573"/>
      <c r="AE38" s="58"/>
      <c r="AF38" s="58"/>
      <c r="AG38" s="59"/>
      <c r="AH38" s="4"/>
    </row>
    <row r="39" spans="1:35" s="5" customFormat="1" ht="11.25" customHeight="1">
      <c r="A39" s="45"/>
      <c r="B39" s="60"/>
      <c r="C39" s="1" t="s">
        <v>40</v>
      </c>
      <c r="D39" s="1"/>
      <c r="E39" s="1"/>
      <c r="F39" s="1"/>
      <c r="G39" s="1"/>
      <c r="H39" s="1"/>
      <c r="I39" s="1"/>
      <c r="J39" s="1"/>
      <c r="K39" s="1"/>
      <c r="L39" s="1"/>
      <c r="M39" s="1"/>
      <c r="N39" s="1"/>
      <c r="O39" s="1"/>
      <c r="P39" s="1"/>
      <c r="Q39" s="1"/>
      <c r="R39" s="46"/>
      <c r="S39" s="574" t="s">
        <v>262</v>
      </c>
      <c r="T39" s="553"/>
      <c r="U39" s="553"/>
      <c r="V39" s="553"/>
      <c r="W39" s="553"/>
      <c r="X39" s="553"/>
      <c r="Y39" s="553"/>
      <c r="Z39" s="553"/>
      <c r="AA39" s="553"/>
      <c r="AB39" s="553"/>
      <c r="AC39" s="553"/>
      <c r="AD39" s="553"/>
      <c r="AE39" s="553"/>
      <c r="AF39" s="553"/>
      <c r="AG39" s="575"/>
      <c r="AH39" s="4"/>
    </row>
    <row r="40" spans="1:35" s="5" customFormat="1" ht="4.5" customHeight="1">
      <c r="A40" s="581"/>
      <c r="B40" s="485"/>
      <c r="C40" s="485"/>
      <c r="D40" s="485"/>
      <c r="E40" s="485"/>
      <c r="F40" s="485"/>
      <c r="G40" s="485"/>
      <c r="H40" s="1"/>
      <c r="I40" s="1"/>
      <c r="J40" s="1"/>
      <c r="K40" s="1"/>
      <c r="L40" s="1"/>
      <c r="M40" s="1"/>
      <c r="N40" s="1"/>
      <c r="O40" s="1"/>
      <c r="P40" s="1"/>
      <c r="Q40" s="1"/>
      <c r="R40" s="46"/>
      <c r="S40" s="576"/>
      <c r="T40" s="562"/>
      <c r="U40" s="562"/>
      <c r="V40" s="562"/>
      <c r="W40" s="562"/>
      <c r="X40" s="562"/>
      <c r="Y40" s="562"/>
      <c r="Z40" s="562"/>
      <c r="AA40" s="562"/>
      <c r="AB40" s="562"/>
      <c r="AC40" s="562"/>
      <c r="AD40" s="562"/>
      <c r="AE40" s="562"/>
      <c r="AF40" s="562"/>
      <c r="AG40" s="577"/>
      <c r="AH40" s="4"/>
    </row>
    <row r="41" spans="1:35" s="5" customFormat="1" ht="11.25" customHeight="1">
      <c r="A41" s="45"/>
      <c r="B41" s="8"/>
      <c r="C41" s="1" t="s">
        <v>41</v>
      </c>
      <c r="D41" s="1"/>
      <c r="E41" s="1"/>
      <c r="F41" s="1"/>
      <c r="G41" s="1"/>
      <c r="H41" s="1"/>
      <c r="I41" s="1"/>
      <c r="J41" s="1"/>
      <c r="K41" s="1"/>
      <c r="L41" s="1"/>
      <c r="M41" s="1"/>
      <c r="N41" s="1"/>
      <c r="O41" s="1"/>
      <c r="P41" s="1"/>
      <c r="Q41" s="1"/>
      <c r="R41" s="46"/>
      <c r="S41" s="576"/>
      <c r="T41" s="562"/>
      <c r="U41" s="562"/>
      <c r="V41" s="562"/>
      <c r="W41" s="562"/>
      <c r="X41" s="562"/>
      <c r="Y41" s="562"/>
      <c r="Z41" s="562"/>
      <c r="AA41" s="562"/>
      <c r="AB41" s="562"/>
      <c r="AC41" s="562"/>
      <c r="AD41" s="562"/>
      <c r="AE41" s="562"/>
      <c r="AF41" s="562"/>
      <c r="AG41" s="577"/>
      <c r="AH41" s="4"/>
    </row>
    <row r="42" spans="1:35" s="5" customFormat="1" ht="7.5" customHeight="1">
      <c r="A42" s="581"/>
      <c r="B42" s="485"/>
      <c r="C42" s="485"/>
      <c r="D42" s="485"/>
      <c r="E42" s="485"/>
      <c r="F42" s="485"/>
      <c r="G42" s="485"/>
      <c r="H42" s="485"/>
      <c r="I42" s="485"/>
      <c r="J42" s="485"/>
      <c r="K42" s="485"/>
      <c r="L42" s="485"/>
      <c r="M42" s="485"/>
      <c r="N42" s="485"/>
      <c r="O42" s="485"/>
      <c r="P42" s="485"/>
      <c r="Q42" s="485"/>
      <c r="R42" s="486"/>
      <c r="S42" s="576"/>
      <c r="T42" s="562"/>
      <c r="U42" s="562"/>
      <c r="V42" s="562"/>
      <c r="W42" s="562"/>
      <c r="X42" s="562"/>
      <c r="Y42" s="562"/>
      <c r="Z42" s="562"/>
      <c r="AA42" s="562"/>
      <c r="AB42" s="562"/>
      <c r="AC42" s="562"/>
      <c r="AD42" s="562"/>
      <c r="AE42" s="562"/>
      <c r="AF42" s="562"/>
      <c r="AG42" s="577"/>
      <c r="AH42" s="4"/>
    </row>
    <row r="43" spans="1:35" s="5" customFormat="1" ht="11.25" customHeight="1">
      <c r="A43" s="45"/>
      <c r="B43" s="8"/>
      <c r="C43" s="1" t="s">
        <v>42</v>
      </c>
      <c r="D43" s="1" t="s">
        <v>42</v>
      </c>
      <c r="E43" s="1"/>
      <c r="F43" s="1"/>
      <c r="G43" s="1"/>
      <c r="H43" s="1"/>
      <c r="I43" s="1"/>
      <c r="J43" s="1"/>
      <c r="K43" s="1"/>
      <c r="L43" s="1"/>
      <c r="M43" s="1"/>
      <c r="N43" s="1"/>
      <c r="O43" s="1"/>
      <c r="P43" s="1"/>
      <c r="Q43" s="1"/>
      <c r="R43" s="46"/>
      <c r="S43" s="576"/>
      <c r="T43" s="562"/>
      <c r="U43" s="562"/>
      <c r="V43" s="562"/>
      <c r="W43" s="562"/>
      <c r="X43" s="562"/>
      <c r="Y43" s="562"/>
      <c r="Z43" s="562"/>
      <c r="AA43" s="562"/>
      <c r="AB43" s="562"/>
      <c r="AC43" s="562"/>
      <c r="AD43" s="562"/>
      <c r="AE43" s="562"/>
      <c r="AF43" s="562"/>
      <c r="AG43" s="577"/>
      <c r="AH43" s="4"/>
    </row>
    <row r="44" spans="1:35" s="5" customFormat="1" ht="11.25" customHeight="1">
      <c r="A44" s="45"/>
      <c r="B44" s="1"/>
      <c r="C44" s="61" t="s">
        <v>43</v>
      </c>
      <c r="D44" s="1"/>
      <c r="E44" s="1"/>
      <c r="F44" s="1"/>
      <c r="G44" s="1"/>
      <c r="H44" s="1"/>
      <c r="I44" s="1"/>
      <c r="J44" s="1"/>
      <c r="K44" s="1"/>
      <c r="L44" s="1"/>
      <c r="M44" s="1"/>
      <c r="N44" s="1"/>
      <c r="O44" s="1"/>
      <c r="P44" s="1"/>
      <c r="Q44" s="1"/>
      <c r="R44" s="46"/>
      <c r="S44" s="576"/>
      <c r="T44" s="562"/>
      <c r="U44" s="562"/>
      <c r="V44" s="562"/>
      <c r="W44" s="562"/>
      <c r="X44" s="562"/>
      <c r="Y44" s="562"/>
      <c r="Z44" s="562"/>
      <c r="AA44" s="562"/>
      <c r="AB44" s="562"/>
      <c r="AC44" s="562"/>
      <c r="AD44" s="562"/>
      <c r="AE44" s="562"/>
      <c r="AF44" s="562"/>
      <c r="AG44" s="577"/>
      <c r="AH44" s="4"/>
    </row>
    <row r="45" spans="1:35" s="5" customFormat="1" ht="6" customHeight="1">
      <c r="A45" s="62"/>
      <c r="B45" s="63"/>
      <c r="C45" s="63"/>
      <c r="D45" s="63"/>
      <c r="E45" s="63"/>
      <c r="F45" s="63"/>
      <c r="G45" s="63"/>
      <c r="H45" s="63"/>
      <c r="I45" s="63"/>
      <c r="J45" s="63"/>
      <c r="K45" s="63"/>
      <c r="L45" s="63"/>
      <c r="M45" s="63"/>
      <c r="N45" s="63"/>
      <c r="O45" s="63"/>
      <c r="P45" s="63"/>
      <c r="Q45" s="63"/>
      <c r="R45" s="64"/>
      <c r="S45" s="578"/>
      <c r="T45" s="579"/>
      <c r="U45" s="579"/>
      <c r="V45" s="579"/>
      <c r="W45" s="579"/>
      <c r="X45" s="579"/>
      <c r="Y45" s="579"/>
      <c r="Z45" s="579"/>
      <c r="AA45" s="579"/>
      <c r="AB45" s="579"/>
      <c r="AC45" s="579"/>
      <c r="AD45" s="579"/>
      <c r="AE45" s="579"/>
      <c r="AF45" s="579"/>
      <c r="AG45" s="580"/>
      <c r="AH45" s="4"/>
    </row>
    <row r="46" spans="1:35" s="5" customFormat="1" ht="15" customHeight="1">
      <c r="A46" s="582" t="s">
        <v>44</v>
      </c>
      <c r="B46" s="583"/>
      <c r="C46" s="583"/>
      <c r="D46" s="583"/>
      <c r="E46" s="484"/>
      <c r="F46" s="485"/>
      <c r="G46" s="485"/>
      <c r="H46" s="485"/>
      <c r="I46" s="485"/>
      <c r="J46" s="485"/>
      <c r="K46" s="485"/>
      <c r="L46" s="485"/>
      <c r="M46" s="485"/>
      <c r="N46" s="485"/>
      <c r="O46" s="485"/>
      <c r="P46" s="485"/>
      <c r="Q46" s="485"/>
      <c r="R46" s="486"/>
      <c r="S46" s="582" t="s">
        <v>44</v>
      </c>
      <c r="T46" s="589"/>
      <c r="U46" s="589"/>
      <c r="V46" s="590"/>
      <c r="W46" s="594"/>
      <c r="X46" s="595"/>
      <c r="Y46" s="595"/>
      <c r="Z46" s="595"/>
      <c r="AA46" s="595"/>
      <c r="AB46" s="595"/>
      <c r="AC46" s="595"/>
      <c r="AD46" s="595"/>
      <c r="AE46" s="595"/>
      <c r="AF46" s="595"/>
      <c r="AG46" s="596"/>
      <c r="AH46" s="4"/>
    </row>
    <row r="47" spans="1:35" s="5" customFormat="1" ht="13.8">
      <c r="A47" s="584"/>
      <c r="B47" s="585"/>
      <c r="C47" s="585"/>
      <c r="D47" s="585"/>
      <c r="E47" s="586"/>
      <c r="F47" s="587"/>
      <c r="G47" s="587"/>
      <c r="H47" s="587"/>
      <c r="I47" s="587"/>
      <c r="J47" s="587"/>
      <c r="K47" s="587"/>
      <c r="L47" s="587"/>
      <c r="M47" s="587"/>
      <c r="N47" s="587"/>
      <c r="O47" s="587"/>
      <c r="P47" s="587"/>
      <c r="Q47" s="587"/>
      <c r="R47" s="588"/>
      <c r="S47" s="591"/>
      <c r="T47" s="592"/>
      <c r="U47" s="592"/>
      <c r="V47" s="593"/>
      <c r="W47" s="597"/>
      <c r="X47" s="592"/>
      <c r="Y47" s="592"/>
      <c r="Z47" s="592"/>
      <c r="AA47" s="592"/>
      <c r="AB47" s="592"/>
      <c r="AC47" s="592"/>
      <c r="AD47" s="592"/>
      <c r="AE47" s="592"/>
      <c r="AF47" s="592"/>
      <c r="AG47" s="598"/>
      <c r="AH47" s="4"/>
    </row>
    <row r="48" spans="1:35" s="5" customFormat="1" ht="15" customHeight="1">
      <c r="A48" s="599" t="s">
        <v>45</v>
      </c>
      <c r="B48" s="600"/>
      <c r="C48" s="600"/>
      <c r="D48" s="601"/>
      <c r="E48" s="603" t="s">
        <v>83</v>
      </c>
      <c r="F48" s="604"/>
      <c r="G48" s="604"/>
      <c r="H48" s="604"/>
      <c r="I48" s="604"/>
      <c r="J48" s="604"/>
      <c r="K48" s="604"/>
      <c r="L48" s="604"/>
      <c r="M48" s="604"/>
      <c r="N48" s="604"/>
      <c r="O48" s="604"/>
      <c r="P48" s="604"/>
      <c r="Q48" s="604"/>
      <c r="R48" s="605"/>
      <c r="S48" s="599" t="s">
        <v>45</v>
      </c>
      <c r="T48" s="595"/>
      <c r="U48" s="595"/>
      <c r="V48" s="609"/>
      <c r="W48" s="610" t="s">
        <v>222</v>
      </c>
      <c r="X48" s="611"/>
      <c r="Y48" s="611"/>
      <c r="Z48" s="611"/>
      <c r="AA48" s="611"/>
      <c r="AB48" s="611"/>
      <c r="AC48" s="611"/>
      <c r="AD48" s="611"/>
      <c r="AE48" s="611"/>
      <c r="AF48" s="611"/>
      <c r="AG48" s="612"/>
      <c r="AH48" s="4"/>
    </row>
    <row r="49" spans="1:38" s="5" customFormat="1" ht="13.8">
      <c r="A49" s="584"/>
      <c r="B49" s="585"/>
      <c r="C49" s="585"/>
      <c r="D49" s="602"/>
      <c r="E49" s="606"/>
      <c r="F49" s="607"/>
      <c r="G49" s="607"/>
      <c r="H49" s="607"/>
      <c r="I49" s="607"/>
      <c r="J49" s="607"/>
      <c r="K49" s="607"/>
      <c r="L49" s="607"/>
      <c r="M49" s="607"/>
      <c r="N49" s="607"/>
      <c r="O49" s="607"/>
      <c r="P49" s="607"/>
      <c r="Q49" s="607"/>
      <c r="R49" s="608"/>
      <c r="S49" s="591"/>
      <c r="T49" s="592"/>
      <c r="U49" s="592"/>
      <c r="V49" s="593"/>
      <c r="W49" s="613"/>
      <c r="X49" s="614"/>
      <c r="Y49" s="614"/>
      <c r="Z49" s="614"/>
      <c r="AA49" s="614"/>
      <c r="AB49" s="614"/>
      <c r="AC49" s="614"/>
      <c r="AD49" s="614"/>
      <c r="AE49" s="614"/>
      <c r="AF49" s="614"/>
      <c r="AG49" s="615"/>
      <c r="AH49" s="4"/>
    </row>
    <row r="50" spans="1:38" s="5" customFormat="1" ht="18" customHeight="1">
      <c r="A50" s="599" t="s">
        <v>46</v>
      </c>
      <c r="B50" s="595"/>
      <c r="C50" s="595"/>
      <c r="D50" s="609"/>
      <c r="E50" s="625" t="s">
        <v>188</v>
      </c>
      <c r="F50" s="626"/>
      <c r="G50" s="626"/>
      <c r="H50" s="626"/>
      <c r="I50" s="626"/>
      <c r="J50" s="626"/>
      <c r="K50" s="626"/>
      <c r="L50" s="626"/>
      <c r="M50" s="626"/>
      <c r="N50" s="626"/>
      <c r="O50" s="626"/>
      <c r="P50" s="626"/>
      <c r="Q50" s="626"/>
      <c r="R50" s="627"/>
      <c r="S50" s="599" t="s">
        <v>46</v>
      </c>
      <c r="T50" s="595"/>
      <c r="U50" s="595"/>
      <c r="V50" s="609"/>
      <c r="W50" s="625" t="s">
        <v>47</v>
      </c>
      <c r="X50" s="626"/>
      <c r="Y50" s="626"/>
      <c r="Z50" s="626"/>
      <c r="AA50" s="626"/>
      <c r="AB50" s="626"/>
      <c r="AC50" s="626"/>
      <c r="AD50" s="626"/>
      <c r="AE50" s="626"/>
      <c r="AF50" s="626"/>
      <c r="AG50" s="627"/>
      <c r="AH50" s="65"/>
    </row>
    <row r="51" spans="1:38" s="5" customFormat="1" ht="15.6" customHeight="1">
      <c r="A51" s="591"/>
      <c r="B51" s="592"/>
      <c r="C51" s="592"/>
      <c r="D51" s="593"/>
      <c r="E51" s="625" t="s">
        <v>48</v>
      </c>
      <c r="F51" s="626"/>
      <c r="G51" s="626"/>
      <c r="H51" s="626"/>
      <c r="I51" s="626"/>
      <c r="J51" s="626"/>
      <c r="K51" s="626"/>
      <c r="L51" s="626"/>
      <c r="M51" s="626"/>
      <c r="N51" s="628"/>
      <c r="O51" s="628"/>
      <c r="P51" s="628"/>
      <c r="Q51" s="628"/>
      <c r="R51" s="629"/>
      <c r="S51" s="591"/>
      <c r="T51" s="592"/>
      <c r="U51" s="592"/>
      <c r="V51" s="593"/>
      <c r="W51" s="630" t="s">
        <v>49</v>
      </c>
      <c r="X51" s="631"/>
      <c r="Y51" s="631"/>
      <c r="Z51" s="631"/>
      <c r="AA51" s="631"/>
      <c r="AB51" s="631"/>
      <c r="AC51" s="631"/>
      <c r="AD51" s="631"/>
      <c r="AE51" s="631"/>
      <c r="AF51" s="631"/>
      <c r="AG51" s="632"/>
      <c r="AH51" s="4"/>
    </row>
    <row r="52" spans="1:38" s="5" customFormat="1" ht="15" customHeight="1">
      <c r="A52" s="599" t="s">
        <v>50</v>
      </c>
      <c r="B52" s="595"/>
      <c r="C52" s="595"/>
      <c r="D52" s="609"/>
      <c r="E52" s="484"/>
      <c r="F52" s="485"/>
      <c r="G52" s="485"/>
      <c r="H52" s="485"/>
      <c r="I52" s="485"/>
      <c r="J52" s="485"/>
      <c r="K52" s="485"/>
      <c r="L52" s="485"/>
      <c r="M52" s="485"/>
      <c r="N52" s="485"/>
      <c r="O52" s="485"/>
      <c r="P52" s="485"/>
      <c r="Q52" s="485"/>
      <c r="R52" s="486"/>
      <c r="S52" s="599" t="s">
        <v>50</v>
      </c>
      <c r="T52" s="595"/>
      <c r="U52" s="595"/>
      <c r="V52" s="609"/>
      <c r="W52" s="594"/>
      <c r="X52" s="595"/>
      <c r="Y52" s="595"/>
      <c r="Z52" s="595"/>
      <c r="AA52" s="595"/>
      <c r="AB52" s="595"/>
      <c r="AC52" s="595"/>
      <c r="AD52" s="595"/>
      <c r="AE52" s="595"/>
      <c r="AF52" s="595"/>
      <c r="AG52" s="596"/>
      <c r="AH52" s="4"/>
    </row>
    <row r="53" spans="1:38" s="5" customFormat="1" ht="15.75" customHeight="1" thickBot="1">
      <c r="A53" s="633"/>
      <c r="B53" s="634"/>
      <c r="C53" s="634"/>
      <c r="D53" s="635"/>
      <c r="E53" s="636"/>
      <c r="F53" s="480"/>
      <c r="G53" s="480"/>
      <c r="H53" s="480"/>
      <c r="I53" s="480"/>
      <c r="J53" s="480"/>
      <c r="K53" s="480"/>
      <c r="L53" s="480"/>
      <c r="M53" s="480"/>
      <c r="N53" s="480"/>
      <c r="O53" s="480"/>
      <c r="P53" s="480"/>
      <c r="Q53" s="480"/>
      <c r="R53" s="637"/>
      <c r="S53" s="638"/>
      <c r="T53" s="639"/>
      <c r="U53" s="639"/>
      <c r="V53" s="640"/>
      <c r="W53" s="641"/>
      <c r="X53" s="639"/>
      <c r="Y53" s="639"/>
      <c r="Z53" s="639"/>
      <c r="AA53" s="639"/>
      <c r="AB53" s="639"/>
      <c r="AC53" s="639"/>
      <c r="AD53" s="639"/>
      <c r="AE53" s="639"/>
      <c r="AF53" s="639"/>
      <c r="AG53" s="642"/>
      <c r="AH53" s="4"/>
    </row>
    <row r="54" spans="1:38" s="5" customFormat="1" ht="13.5" customHeight="1">
      <c r="A54" s="54" t="s">
        <v>51</v>
      </c>
      <c r="B54" s="55" t="s">
        <v>52</v>
      </c>
      <c r="C54" s="55"/>
      <c r="D54" s="55"/>
      <c r="E54" s="55"/>
      <c r="F54" s="55"/>
      <c r="G54" s="55"/>
      <c r="H54" s="55"/>
      <c r="I54" s="55"/>
      <c r="J54" s="55"/>
      <c r="K54" s="55"/>
      <c r="L54" s="55"/>
      <c r="M54" s="55"/>
      <c r="N54" s="55"/>
      <c r="O54" s="55"/>
      <c r="P54" s="55"/>
      <c r="Q54" s="55"/>
      <c r="R54" s="55"/>
      <c r="S54" s="55"/>
      <c r="T54" s="55"/>
      <c r="U54" s="55"/>
      <c r="V54" s="55"/>
      <c r="W54" s="55"/>
      <c r="X54" s="55"/>
      <c r="Y54" s="55"/>
      <c r="Z54" s="55"/>
      <c r="AA54" s="66"/>
      <c r="AB54" s="16" t="s">
        <v>53</v>
      </c>
      <c r="AC54" s="16"/>
      <c r="AD54" s="16"/>
      <c r="AE54" s="478"/>
      <c r="AF54" s="478"/>
      <c r="AG54" s="479"/>
      <c r="AH54" s="4"/>
    </row>
    <row r="55" spans="1:38" s="5" customFormat="1" ht="12.75" customHeight="1">
      <c r="A55" s="582" t="s">
        <v>54</v>
      </c>
      <c r="B55" s="589"/>
      <c r="C55" s="589"/>
      <c r="D55" s="1"/>
      <c r="E55" s="484"/>
      <c r="F55" s="485"/>
      <c r="G55" s="485"/>
      <c r="H55" s="485"/>
      <c r="I55" s="485"/>
      <c r="J55" s="485"/>
      <c r="K55" s="485"/>
      <c r="L55" s="485"/>
      <c r="M55" s="616"/>
      <c r="N55" s="618" t="s">
        <v>5</v>
      </c>
      <c r="O55" s="619"/>
      <c r="P55" s="619"/>
      <c r="Q55" s="619"/>
      <c r="R55" s="620"/>
      <c r="S55" s="624" t="s">
        <v>55</v>
      </c>
      <c r="T55" s="619"/>
      <c r="U55" s="619"/>
      <c r="V55" s="619"/>
      <c r="W55" s="619"/>
      <c r="X55" s="619"/>
      <c r="Y55" s="619"/>
      <c r="Z55" s="619"/>
      <c r="AA55" s="620"/>
      <c r="AB55" s="7"/>
      <c r="AC55" s="7"/>
      <c r="AD55" s="7"/>
      <c r="AE55" s="7"/>
      <c r="AF55" s="7"/>
      <c r="AG55" s="10"/>
      <c r="AH55" s="4"/>
    </row>
    <row r="56" spans="1:38" s="5" customFormat="1" ht="13.95" customHeight="1">
      <c r="A56" s="591"/>
      <c r="B56" s="592"/>
      <c r="C56" s="592"/>
      <c r="D56" s="63"/>
      <c r="E56" s="586"/>
      <c r="F56" s="587"/>
      <c r="G56" s="587"/>
      <c r="H56" s="587"/>
      <c r="I56" s="587"/>
      <c r="J56" s="587"/>
      <c r="K56" s="587"/>
      <c r="L56" s="587"/>
      <c r="M56" s="617"/>
      <c r="N56" s="621"/>
      <c r="O56" s="622"/>
      <c r="P56" s="622"/>
      <c r="Q56" s="622"/>
      <c r="R56" s="623"/>
      <c r="S56" s="621"/>
      <c r="T56" s="622"/>
      <c r="U56" s="622"/>
      <c r="V56" s="622"/>
      <c r="W56" s="622"/>
      <c r="X56" s="622"/>
      <c r="Y56" s="622"/>
      <c r="Z56" s="622"/>
      <c r="AA56" s="623"/>
      <c r="AB56" s="63"/>
      <c r="AC56" s="63"/>
      <c r="AD56" s="67"/>
      <c r="AE56" s="67"/>
      <c r="AF56" s="67"/>
      <c r="AG56" s="68"/>
      <c r="AH56" s="4"/>
    </row>
    <row r="57" spans="1:38" s="5" customFormat="1" ht="12.75" customHeight="1">
      <c r="A57" s="599" t="s">
        <v>56</v>
      </c>
      <c r="B57" s="643"/>
      <c r="C57" s="643"/>
      <c r="D57" s="644"/>
      <c r="E57" s="646"/>
      <c r="F57" s="643"/>
      <c r="G57" s="643"/>
      <c r="H57" s="643"/>
      <c r="I57" s="643"/>
      <c r="J57" s="643"/>
      <c r="K57" s="643"/>
      <c r="L57" s="643"/>
      <c r="M57" s="644"/>
      <c r="N57" s="647" t="s">
        <v>5</v>
      </c>
      <c r="O57" s="600"/>
      <c r="P57" s="600"/>
      <c r="Q57" s="600"/>
      <c r="R57" s="601"/>
      <c r="S57" s="649" t="s">
        <v>57</v>
      </c>
      <c r="T57" s="650"/>
      <c r="U57" s="650"/>
      <c r="V57" s="650"/>
      <c r="W57" s="650"/>
      <c r="X57" s="650"/>
      <c r="Y57" s="650"/>
      <c r="Z57" s="650"/>
      <c r="AA57" s="651"/>
      <c r="AB57" s="69" t="s">
        <v>50</v>
      </c>
      <c r="AC57" s="69"/>
      <c r="AD57" s="643"/>
      <c r="AE57" s="643"/>
      <c r="AF57" s="643"/>
      <c r="AG57" s="652"/>
      <c r="AH57" s="4"/>
    </row>
    <row r="58" spans="1:38" s="5" customFormat="1" ht="13.8">
      <c r="A58" s="645"/>
      <c r="B58" s="587"/>
      <c r="C58" s="587"/>
      <c r="D58" s="617"/>
      <c r="E58" s="586"/>
      <c r="F58" s="587"/>
      <c r="G58" s="587"/>
      <c r="H58" s="587"/>
      <c r="I58" s="587"/>
      <c r="J58" s="587"/>
      <c r="K58" s="587"/>
      <c r="L58" s="587"/>
      <c r="M58" s="617"/>
      <c r="N58" s="648"/>
      <c r="O58" s="585"/>
      <c r="P58" s="585"/>
      <c r="Q58" s="585"/>
      <c r="R58" s="602"/>
      <c r="S58" s="653" t="str">
        <f>E11</f>
        <v>ROGER E. AMOLATO</v>
      </c>
      <c r="T58" s="654"/>
      <c r="U58" s="654"/>
      <c r="V58" s="654"/>
      <c r="W58" s="654"/>
      <c r="X58" s="654"/>
      <c r="Y58" s="654"/>
      <c r="Z58" s="654"/>
      <c r="AA58" s="655"/>
      <c r="AB58" s="485"/>
      <c r="AC58" s="485"/>
      <c r="AD58" s="485"/>
      <c r="AE58" s="485"/>
      <c r="AF58" s="485"/>
      <c r="AG58" s="486"/>
      <c r="AH58" s="4"/>
    </row>
    <row r="59" spans="1:38" s="5" customFormat="1" ht="15.6" customHeight="1" thickBot="1">
      <c r="A59" s="656" t="s">
        <v>58</v>
      </c>
      <c r="B59" s="657"/>
      <c r="C59" s="657"/>
      <c r="D59" s="657"/>
      <c r="E59" s="657"/>
      <c r="F59" s="657"/>
      <c r="G59" s="657"/>
      <c r="H59" s="657"/>
      <c r="I59" s="657"/>
      <c r="J59" s="657"/>
      <c r="K59" s="657"/>
      <c r="L59" s="657"/>
      <c r="M59" s="657"/>
      <c r="N59" s="657"/>
      <c r="O59" s="657"/>
      <c r="P59" s="657"/>
      <c r="Q59" s="657"/>
      <c r="R59" s="657"/>
      <c r="S59" s="657"/>
      <c r="T59" s="657"/>
      <c r="U59" s="657"/>
      <c r="V59" s="657"/>
      <c r="W59" s="657"/>
      <c r="X59" s="657"/>
      <c r="Y59" s="657"/>
      <c r="Z59" s="657"/>
      <c r="AA59" s="658"/>
      <c r="AB59" s="480"/>
      <c r="AC59" s="480"/>
      <c r="AD59" s="480"/>
      <c r="AE59" s="480"/>
      <c r="AF59" s="480"/>
      <c r="AG59" s="637"/>
      <c r="AH59" s="70"/>
      <c r="AI59" s="71"/>
      <c r="AJ59" s="71"/>
      <c r="AK59" s="71"/>
      <c r="AL59" s="71"/>
    </row>
  </sheetData>
  <mergeCells count="85">
    <mergeCell ref="S52:V53"/>
    <mergeCell ref="W52:AG53"/>
    <mergeCell ref="AE54:AG54"/>
    <mergeCell ref="A57:D58"/>
    <mergeCell ref="E57:M58"/>
    <mergeCell ref="N57:R58"/>
    <mergeCell ref="S57:AA57"/>
    <mergeCell ref="AD57:AG57"/>
    <mergeCell ref="S58:AA58"/>
    <mergeCell ref="AB58:AG59"/>
    <mergeCell ref="A59:AA59"/>
    <mergeCell ref="A48:D49"/>
    <mergeCell ref="E48:R49"/>
    <mergeCell ref="S48:V49"/>
    <mergeCell ref="W48:AG49"/>
    <mergeCell ref="A55:C56"/>
    <mergeCell ref="E55:M56"/>
    <mergeCell ref="N55:R56"/>
    <mergeCell ref="S55:AA56"/>
    <mergeCell ref="A50:D51"/>
    <mergeCell ref="E50:R50"/>
    <mergeCell ref="S50:V51"/>
    <mergeCell ref="W50:AG50"/>
    <mergeCell ref="E51:R51"/>
    <mergeCell ref="W51:AG51"/>
    <mergeCell ref="A52:D53"/>
    <mergeCell ref="E52:R53"/>
    <mergeCell ref="S39:AG45"/>
    <mergeCell ref="A40:G40"/>
    <mergeCell ref="A42:R42"/>
    <mergeCell ref="A46:D47"/>
    <mergeCell ref="E46:R47"/>
    <mergeCell ref="S46:V47"/>
    <mergeCell ref="W46:AG47"/>
    <mergeCell ref="A31:AG31"/>
    <mergeCell ref="A37:R37"/>
    <mergeCell ref="S37:W37"/>
    <mergeCell ref="AC37:AG37"/>
    <mergeCell ref="T38:AD38"/>
    <mergeCell ref="AC36:AG36"/>
    <mergeCell ref="L32:X32"/>
    <mergeCell ref="A34:R34"/>
    <mergeCell ref="S34:W34"/>
    <mergeCell ref="X34:AB34"/>
    <mergeCell ref="AC34:AG34"/>
    <mergeCell ref="A35:R35"/>
    <mergeCell ref="S35:W35"/>
    <mergeCell ref="X35:AB35"/>
    <mergeCell ref="A36:R36"/>
    <mergeCell ref="S36:W36"/>
    <mergeCell ref="B27:AG27"/>
    <mergeCell ref="A17:Q25"/>
    <mergeCell ref="AE19:AG19"/>
    <mergeCell ref="A29:AG29"/>
    <mergeCell ref="A30:AG30"/>
    <mergeCell ref="S12:AA12"/>
    <mergeCell ref="AB12:AG12"/>
    <mergeCell ref="W15:AA15"/>
    <mergeCell ref="AB15:AG15"/>
    <mergeCell ref="A26:Q26"/>
    <mergeCell ref="AB26:AD26"/>
    <mergeCell ref="AE26:AG26"/>
    <mergeCell ref="A16:Q16"/>
    <mergeCell ref="AB19:AC19"/>
    <mergeCell ref="A13:C14"/>
    <mergeCell ref="E13:AG14"/>
    <mergeCell ref="A15:Q15"/>
    <mergeCell ref="R15:V15"/>
    <mergeCell ref="A11:C12"/>
    <mergeCell ref="E11:R12"/>
    <mergeCell ref="S11:AA11"/>
    <mergeCell ref="AB11:AG11"/>
    <mergeCell ref="AB1:AG1"/>
    <mergeCell ref="A3:AA3"/>
    <mergeCell ref="AB3:AG3"/>
    <mergeCell ref="A4:AA4"/>
    <mergeCell ref="AB4:AG4"/>
    <mergeCell ref="A5:AA7"/>
    <mergeCell ref="AB5:AG5"/>
    <mergeCell ref="AB6:AG6"/>
    <mergeCell ref="AB7:AG7"/>
    <mergeCell ref="A8:C10"/>
    <mergeCell ref="E8:AG8"/>
    <mergeCell ref="J10:M10"/>
    <mergeCell ref="O10:T10"/>
  </mergeCells>
  <printOptions horizontalCentered="1"/>
  <pageMargins left="0.25" right="0.25" top="0.75" bottom="0.75" header="0.3" footer="0.3"/>
  <pageSetup paperSize="9" scale="90" orientation="portrait" r:id="rId1"/>
  <headerFooter>
    <oddFooter>&amp;C&amp;"Times New Roman,Regular"&amp;12 92</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showGridLines="0" topLeftCell="A18" zoomScale="87" zoomScaleNormal="115" zoomScaleSheetLayoutView="100" workbookViewId="0">
      <selection activeCell="I49" sqref="I49"/>
    </sheetView>
  </sheetViews>
  <sheetFormatPr defaultRowHeight="13.2"/>
  <cols>
    <col min="1" max="1" width="9.77734375" style="210" customWidth="1"/>
    <col min="2" max="2" width="9.109375" style="210" customWidth="1"/>
    <col min="3" max="3" width="1.33203125" style="210" customWidth="1"/>
    <col min="4" max="4" width="9.109375" style="210" customWidth="1"/>
    <col min="5" max="5" width="6.5546875" style="210" customWidth="1"/>
    <col min="6" max="6" width="8.6640625" style="210" customWidth="1"/>
    <col min="7" max="7" width="1" style="210" customWidth="1"/>
    <col min="8" max="8" width="34.33203125" style="210" customWidth="1"/>
    <col min="9" max="9" width="7.88671875" style="210" customWidth="1"/>
    <col min="10" max="10" width="5.109375" style="210" customWidth="1"/>
    <col min="11" max="11" width="13.33203125" style="210" customWidth="1"/>
    <col min="12" max="12" width="8" style="210" customWidth="1"/>
    <col min="13" max="13" width="16.44140625" style="210" customWidth="1"/>
    <col min="14" max="256" width="8.88671875" style="210"/>
    <col min="257" max="257" width="7.44140625" style="210" customWidth="1"/>
    <col min="258" max="258" width="9.109375" style="210" customWidth="1"/>
    <col min="259" max="259" width="4.88671875" style="210" customWidth="1"/>
    <col min="260" max="260" width="7.44140625" style="210" customWidth="1"/>
    <col min="261" max="261" width="6.5546875" style="210" customWidth="1"/>
    <col min="262" max="262" width="10" style="210" customWidth="1"/>
    <col min="263" max="263" width="2" style="210" customWidth="1"/>
    <col min="264" max="264" width="20.44140625" style="210" customWidth="1"/>
    <col min="265" max="265" width="7.88671875" style="210" customWidth="1"/>
    <col min="266" max="266" width="4.44140625" style="210" customWidth="1"/>
    <col min="267" max="267" width="13.33203125" style="210" customWidth="1"/>
    <col min="268" max="268" width="11.109375" style="210" customWidth="1"/>
    <col min="269" max="269" width="15.44140625" style="210" customWidth="1"/>
    <col min="270" max="512" width="8.88671875" style="210"/>
    <col min="513" max="513" width="7.44140625" style="210" customWidth="1"/>
    <col min="514" max="514" width="9.109375" style="210" customWidth="1"/>
    <col min="515" max="515" width="4.88671875" style="210" customWidth="1"/>
    <col min="516" max="516" width="7.44140625" style="210" customWidth="1"/>
    <col min="517" max="517" width="6.5546875" style="210" customWidth="1"/>
    <col min="518" max="518" width="10" style="210" customWidth="1"/>
    <col min="519" max="519" width="2" style="210" customWidth="1"/>
    <col min="520" max="520" width="20.44140625" style="210" customWidth="1"/>
    <col min="521" max="521" width="7.88671875" style="210" customWidth="1"/>
    <col min="522" max="522" width="4.44140625" style="210" customWidth="1"/>
    <col min="523" max="523" width="13.33203125" style="210" customWidth="1"/>
    <col min="524" max="524" width="11.109375" style="210" customWidth="1"/>
    <col min="525" max="525" width="15.44140625" style="210" customWidth="1"/>
    <col min="526" max="768" width="8.88671875" style="210"/>
    <col min="769" max="769" width="7.44140625" style="210" customWidth="1"/>
    <col min="770" max="770" width="9.109375" style="210" customWidth="1"/>
    <col min="771" max="771" width="4.88671875" style="210" customWidth="1"/>
    <col min="772" max="772" width="7.44140625" style="210" customWidth="1"/>
    <col min="773" max="773" width="6.5546875" style="210" customWidth="1"/>
    <col min="774" max="774" width="10" style="210" customWidth="1"/>
    <col min="775" max="775" width="2" style="210" customWidth="1"/>
    <col min="776" max="776" width="20.44140625" style="210" customWidth="1"/>
    <col min="777" max="777" width="7.88671875" style="210" customWidth="1"/>
    <col min="778" max="778" width="4.44140625" style="210" customWidth="1"/>
    <col min="779" max="779" width="13.33203125" style="210" customWidth="1"/>
    <col min="780" max="780" width="11.109375" style="210" customWidth="1"/>
    <col min="781" max="781" width="15.44140625" style="210" customWidth="1"/>
    <col min="782" max="1024" width="8.88671875" style="210"/>
    <col min="1025" max="1025" width="7.44140625" style="210" customWidth="1"/>
    <col min="1026" max="1026" width="9.109375" style="210" customWidth="1"/>
    <col min="1027" max="1027" width="4.88671875" style="210" customWidth="1"/>
    <col min="1028" max="1028" width="7.44140625" style="210" customWidth="1"/>
    <col min="1029" max="1029" width="6.5546875" style="210" customWidth="1"/>
    <col min="1030" max="1030" width="10" style="210" customWidth="1"/>
    <col min="1031" max="1031" width="2" style="210" customWidth="1"/>
    <col min="1032" max="1032" width="20.44140625" style="210" customWidth="1"/>
    <col min="1033" max="1033" width="7.88671875" style="210" customWidth="1"/>
    <col min="1034" max="1034" width="4.44140625" style="210" customWidth="1"/>
    <col min="1035" max="1035" width="13.33203125" style="210" customWidth="1"/>
    <col min="1036" max="1036" width="11.109375" style="210" customWidth="1"/>
    <col min="1037" max="1037" width="15.44140625" style="210" customWidth="1"/>
    <col min="1038" max="1280" width="8.88671875" style="210"/>
    <col min="1281" max="1281" width="7.44140625" style="210" customWidth="1"/>
    <col min="1282" max="1282" width="9.109375" style="210" customWidth="1"/>
    <col min="1283" max="1283" width="4.88671875" style="210" customWidth="1"/>
    <col min="1284" max="1284" width="7.44140625" style="210" customWidth="1"/>
    <col min="1285" max="1285" width="6.5546875" style="210" customWidth="1"/>
    <col min="1286" max="1286" width="10" style="210" customWidth="1"/>
    <col min="1287" max="1287" width="2" style="210" customWidth="1"/>
    <col min="1288" max="1288" width="20.44140625" style="210" customWidth="1"/>
    <col min="1289" max="1289" width="7.88671875" style="210" customWidth="1"/>
    <col min="1290" max="1290" width="4.44140625" style="210" customWidth="1"/>
    <col min="1291" max="1291" width="13.33203125" style="210" customWidth="1"/>
    <col min="1292" max="1292" width="11.109375" style="210" customWidth="1"/>
    <col min="1293" max="1293" width="15.44140625" style="210" customWidth="1"/>
    <col min="1294" max="1536" width="8.88671875" style="210"/>
    <col min="1537" max="1537" width="7.44140625" style="210" customWidth="1"/>
    <col min="1538" max="1538" width="9.109375" style="210" customWidth="1"/>
    <col min="1539" max="1539" width="4.88671875" style="210" customWidth="1"/>
    <col min="1540" max="1540" width="7.44140625" style="210" customWidth="1"/>
    <col min="1541" max="1541" width="6.5546875" style="210" customWidth="1"/>
    <col min="1542" max="1542" width="10" style="210" customWidth="1"/>
    <col min="1543" max="1543" width="2" style="210" customWidth="1"/>
    <col min="1544" max="1544" width="20.44140625" style="210" customWidth="1"/>
    <col min="1545" max="1545" width="7.88671875" style="210" customWidth="1"/>
    <col min="1546" max="1546" width="4.44140625" style="210" customWidth="1"/>
    <col min="1547" max="1547" width="13.33203125" style="210" customWidth="1"/>
    <col min="1548" max="1548" width="11.109375" style="210" customWidth="1"/>
    <col min="1549" max="1549" width="15.44140625" style="210" customWidth="1"/>
    <col min="1550" max="1792" width="8.88671875" style="210"/>
    <col min="1793" max="1793" width="7.44140625" style="210" customWidth="1"/>
    <col min="1794" max="1794" width="9.109375" style="210" customWidth="1"/>
    <col min="1795" max="1795" width="4.88671875" style="210" customWidth="1"/>
    <col min="1796" max="1796" width="7.44140625" style="210" customWidth="1"/>
    <col min="1797" max="1797" width="6.5546875" style="210" customWidth="1"/>
    <col min="1798" max="1798" width="10" style="210" customWidth="1"/>
    <col min="1799" max="1799" width="2" style="210" customWidth="1"/>
    <col min="1800" max="1800" width="20.44140625" style="210" customWidth="1"/>
    <col min="1801" max="1801" width="7.88671875" style="210" customWidth="1"/>
    <col min="1802" max="1802" width="4.44140625" style="210" customWidth="1"/>
    <col min="1803" max="1803" width="13.33203125" style="210" customWidth="1"/>
    <col min="1804" max="1804" width="11.109375" style="210" customWidth="1"/>
    <col min="1805" max="1805" width="15.44140625" style="210" customWidth="1"/>
    <col min="1806" max="2048" width="8.88671875" style="210"/>
    <col min="2049" max="2049" width="7.44140625" style="210" customWidth="1"/>
    <col min="2050" max="2050" width="9.109375" style="210" customWidth="1"/>
    <col min="2051" max="2051" width="4.88671875" style="210" customWidth="1"/>
    <col min="2052" max="2052" width="7.44140625" style="210" customWidth="1"/>
    <col min="2053" max="2053" width="6.5546875" style="210" customWidth="1"/>
    <col min="2054" max="2054" width="10" style="210" customWidth="1"/>
    <col min="2055" max="2055" width="2" style="210" customWidth="1"/>
    <col min="2056" max="2056" width="20.44140625" style="210" customWidth="1"/>
    <col min="2057" max="2057" width="7.88671875" style="210" customWidth="1"/>
    <col min="2058" max="2058" width="4.44140625" style="210" customWidth="1"/>
    <col min="2059" max="2059" width="13.33203125" style="210" customWidth="1"/>
    <col min="2060" max="2060" width="11.109375" style="210" customWidth="1"/>
    <col min="2061" max="2061" width="15.44140625" style="210" customWidth="1"/>
    <col min="2062" max="2304" width="8.88671875" style="210"/>
    <col min="2305" max="2305" width="7.44140625" style="210" customWidth="1"/>
    <col min="2306" max="2306" width="9.109375" style="210" customWidth="1"/>
    <col min="2307" max="2307" width="4.88671875" style="210" customWidth="1"/>
    <col min="2308" max="2308" width="7.44140625" style="210" customWidth="1"/>
    <col min="2309" max="2309" width="6.5546875" style="210" customWidth="1"/>
    <col min="2310" max="2310" width="10" style="210" customWidth="1"/>
    <col min="2311" max="2311" width="2" style="210" customWidth="1"/>
    <col min="2312" max="2312" width="20.44140625" style="210" customWidth="1"/>
    <col min="2313" max="2313" width="7.88671875" style="210" customWidth="1"/>
    <col min="2314" max="2314" width="4.44140625" style="210" customWidth="1"/>
    <col min="2315" max="2315" width="13.33203125" style="210" customWidth="1"/>
    <col min="2316" max="2316" width="11.109375" style="210" customWidth="1"/>
    <col min="2317" max="2317" width="15.44140625" style="210" customWidth="1"/>
    <col min="2318" max="2560" width="8.88671875" style="210"/>
    <col min="2561" max="2561" width="7.44140625" style="210" customWidth="1"/>
    <col min="2562" max="2562" width="9.109375" style="210" customWidth="1"/>
    <col min="2563" max="2563" width="4.88671875" style="210" customWidth="1"/>
    <col min="2564" max="2564" width="7.44140625" style="210" customWidth="1"/>
    <col min="2565" max="2565" width="6.5546875" style="210" customWidth="1"/>
    <col min="2566" max="2566" width="10" style="210" customWidth="1"/>
    <col min="2567" max="2567" width="2" style="210" customWidth="1"/>
    <col min="2568" max="2568" width="20.44140625" style="210" customWidth="1"/>
    <col min="2569" max="2569" width="7.88671875" style="210" customWidth="1"/>
    <col min="2570" max="2570" width="4.44140625" style="210" customWidth="1"/>
    <col min="2571" max="2571" width="13.33203125" style="210" customWidth="1"/>
    <col min="2572" max="2572" width="11.109375" style="210" customWidth="1"/>
    <col min="2573" max="2573" width="15.44140625" style="210" customWidth="1"/>
    <col min="2574" max="2816" width="8.88671875" style="210"/>
    <col min="2817" max="2817" width="7.44140625" style="210" customWidth="1"/>
    <col min="2818" max="2818" width="9.109375" style="210" customWidth="1"/>
    <col min="2819" max="2819" width="4.88671875" style="210" customWidth="1"/>
    <col min="2820" max="2820" width="7.44140625" style="210" customWidth="1"/>
    <col min="2821" max="2821" width="6.5546875" style="210" customWidth="1"/>
    <col min="2822" max="2822" width="10" style="210" customWidth="1"/>
    <col min="2823" max="2823" width="2" style="210" customWidth="1"/>
    <col min="2824" max="2824" width="20.44140625" style="210" customWidth="1"/>
    <col min="2825" max="2825" width="7.88671875" style="210" customWidth="1"/>
    <col min="2826" max="2826" width="4.44140625" style="210" customWidth="1"/>
    <col min="2827" max="2827" width="13.33203125" style="210" customWidth="1"/>
    <col min="2828" max="2828" width="11.109375" style="210" customWidth="1"/>
    <col min="2829" max="2829" width="15.44140625" style="210" customWidth="1"/>
    <col min="2830" max="3072" width="8.88671875" style="210"/>
    <col min="3073" max="3073" width="7.44140625" style="210" customWidth="1"/>
    <col min="3074" max="3074" width="9.109375" style="210" customWidth="1"/>
    <col min="3075" max="3075" width="4.88671875" style="210" customWidth="1"/>
    <col min="3076" max="3076" width="7.44140625" style="210" customWidth="1"/>
    <col min="3077" max="3077" width="6.5546875" style="210" customWidth="1"/>
    <col min="3078" max="3078" width="10" style="210" customWidth="1"/>
    <col min="3079" max="3079" width="2" style="210" customWidth="1"/>
    <col min="3080" max="3080" width="20.44140625" style="210" customWidth="1"/>
    <col min="3081" max="3081" width="7.88671875" style="210" customWidth="1"/>
    <col min="3082" max="3082" width="4.44140625" style="210" customWidth="1"/>
    <col min="3083" max="3083" width="13.33203125" style="210" customWidth="1"/>
    <col min="3084" max="3084" width="11.109375" style="210" customWidth="1"/>
    <col min="3085" max="3085" width="15.44140625" style="210" customWidth="1"/>
    <col min="3086" max="3328" width="8.88671875" style="210"/>
    <col min="3329" max="3329" width="7.44140625" style="210" customWidth="1"/>
    <col min="3330" max="3330" width="9.109375" style="210" customWidth="1"/>
    <col min="3331" max="3331" width="4.88671875" style="210" customWidth="1"/>
    <col min="3332" max="3332" width="7.44140625" style="210" customWidth="1"/>
    <col min="3333" max="3333" width="6.5546875" style="210" customWidth="1"/>
    <col min="3334" max="3334" width="10" style="210" customWidth="1"/>
    <col min="3335" max="3335" width="2" style="210" customWidth="1"/>
    <col min="3336" max="3336" width="20.44140625" style="210" customWidth="1"/>
    <col min="3337" max="3337" width="7.88671875" style="210" customWidth="1"/>
    <col min="3338" max="3338" width="4.44140625" style="210" customWidth="1"/>
    <col min="3339" max="3339" width="13.33203125" style="210" customWidth="1"/>
    <col min="3340" max="3340" width="11.109375" style="210" customWidth="1"/>
    <col min="3341" max="3341" width="15.44140625" style="210" customWidth="1"/>
    <col min="3342" max="3584" width="8.88671875" style="210"/>
    <col min="3585" max="3585" width="7.44140625" style="210" customWidth="1"/>
    <col min="3586" max="3586" width="9.109375" style="210" customWidth="1"/>
    <col min="3587" max="3587" width="4.88671875" style="210" customWidth="1"/>
    <col min="3588" max="3588" width="7.44140625" style="210" customWidth="1"/>
    <col min="3589" max="3589" width="6.5546875" style="210" customWidth="1"/>
    <col min="3590" max="3590" width="10" style="210" customWidth="1"/>
    <col min="3591" max="3591" width="2" style="210" customWidth="1"/>
    <col min="3592" max="3592" width="20.44140625" style="210" customWidth="1"/>
    <col min="3593" max="3593" width="7.88671875" style="210" customWidth="1"/>
    <col min="3594" max="3594" width="4.44140625" style="210" customWidth="1"/>
    <col min="3595" max="3595" width="13.33203125" style="210" customWidth="1"/>
    <col min="3596" max="3596" width="11.109375" style="210" customWidth="1"/>
    <col min="3597" max="3597" width="15.44140625" style="210" customWidth="1"/>
    <col min="3598" max="3840" width="8.88671875" style="210"/>
    <col min="3841" max="3841" width="7.44140625" style="210" customWidth="1"/>
    <col min="3842" max="3842" width="9.109375" style="210" customWidth="1"/>
    <col min="3843" max="3843" width="4.88671875" style="210" customWidth="1"/>
    <col min="3844" max="3844" width="7.44140625" style="210" customWidth="1"/>
    <col min="3845" max="3845" width="6.5546875" style="210" customWidth="1"/>
    <col min="3846" max="3846" width="10" style="210" customWidth="1"/>
    <col min="3847" max="3847" width="2" style="210" customWidth="1"/>
    <col min="3848" max="3848" width="20.44140625" style="210" customWidth="1"/>
    <col min="3849" max="3849" width="7.88671875" style="210" customWidth="1"/>
    <col min="3850" max="3850" width="4.44140625" style="210" customWidth="1"/>
    <col min="3851" max="3851" width="13.33203125" style="210" customWidth="1"/>
    <col min="3852" max="3852" width="11.109375" style="210" customWidth="1"/>
    <col min="3853" max="3853" width="15.44140625" style="210" customWidth="1"/>
    <col min="3854" max="4096" width="8.88671875" style="210"/>
    <col min="4097" max="4097" width="7.44140625" style="210" customWidth="1"/>
    <col min="4098" max="4098" width="9.109375" style="210" customWidth="1"/>
    <col min="4099" max="4099" width="4.88671875" style="210" customWidth="1"/>
    <col min="4100" max="4100" width="7.44140625" style="210" customWidth="1"/>
    <col min="4101" max="4101" width="6.5546875" style="210" customWidth="1"/>
    <col min="4102" max="4102" width="10" style="210" customWidth="1"/>
    <col min="4103" max="4103" width="2" style="210" customWidth="1"/>
    <col min="4104" max="4104" width="20.44140625" style="210" customWidth="1"/>
    <col min="4105" max="4105" width="7.88671875" style="210" customWidth="1"/>
    <col min="4106" max="4106" width="4.44140625" style="210" customWidth="1"/>
    <col min="4107" max="4107" width="13.33203125" style="210" customWidth="1"/>
    <col min="4108" max="4108" width="11.109375" style="210" customWidth="1"/>
    <col min="4109" max="4109" width="15.44140625" style="210" customWidth="1"/>
    <col min="4110" max="4352" width="8.88671875" style="210"/>
    <col min="4353" max="4353" width="7.44140625" style="210" customWidth="1"/>
    <col min="4354" max="4354" width="9.109375" style="210" customWidth="1"/>
    <col min="4355" max="4355" width="4.88671875" style="210" customWidth="1"/>
    <col min="4356" max="4356" width="7.44140625" style="210" customWidth="1"/>
    <col min="4357" max="4357" width="6.5546875" style="210" customWidth="1"/>
    <col min="4358" max="4358" width="10" style="210" customWidth="1"/>
    <col min="4359" max="4359" width="2" style="210" customWidth="1"/>
    <col min="4360" max="4360" width="20.44140625" style="210" customWidth="1"/>
    <col min="4361" max="4361" width="7.88671875" style="210" customWidth="1"/>
    <col min="4362" max="4362" width="4.44140625" style="210" customWidth="1"/>
    <col min="4363" max="4363" width="13.33203125" style="210" customWidth="1"/>
    <col min="4364" max="4364" width="11.109375" style="210" customWidth="1"/>
    <col min="4365" max="4365" width="15.44140625" style="210" customWidth="1"/>
    <col min="4366" max="4608" width="8.88671875" style="210"/>
    <col min="4609" max="4609" width="7.44140625" style="210" customWidth="1"/>
    <col min="4610" max="4610" width="9.109375" style="210" customWidth="1"/>
    <col min="4611" max="4611" width="4.88671875" style="210" customWidth="1"/>
    <col min="4612" max="4612" width="7.44140625" style="210" customWidth="1"/>
    <col min="4613" max="4613" width="6.5546875" style="210" customWidth="1"/>
    <col min="4614" max="4614" width="10" style="210" customWidth="1"/>
    <col min="4615" max="4615" width="2" style="210" customWidth="1"/>
    <col min="4616" max="4616" width="20.44140625" style="210" customWidth="1"/>
    <col min="4617" max="4617" width="7.88671875" style="210" customWidth="1"/>
    <col min="4618" max="4618" width="4.44140625" style="210" customWidth="1"/>
    <col min="4619" max="4619" width="13.33203125" style="210" customWidth="1"/>
    <col min="4620" max="4620" width="11.109375" style="210" customWidth="1"/>
    <col min="4621" max="4621" width="15.44140625" style="210" customWidth="1"/>
    <col min="4622" max="4864" width="8.88671875" style="210"/>
    <col min="4865" max="4865" width="7.44140625" style="210" customWidth="1"/>
    <col min="4866" max="4866" width="9.109375" style="210" customWidth="1"/>
    <col min="4867" max="4867" width="4.88671875" style="210" customWidth="1"/>
    <col min="4868" max="4868" width="7.44140625" style="210" customWidth="1"/>
    <col min="4869" max="4869" width="6.5546875" style="210" customWidth="1"/>
    <col min="4870" max="4870" width="10" style="210" customWidth="1"/>
    <col min="4871" max="4871" width="2" style="210" customWidth="1"/>
    <col min="4872" max="4872" width="20.44140625" style="210" customWidth="1"/>
    <col min="4873" max="4873" width="7.88671875" style="210" customWidth="1"/>
    <col min="4874" max="4874" width="4.44140625" style="210" customWidth="1"/>
    <col min="4875" max="4875" width="13.33203125" style="210" customWidth="1"/>
    <col min="4876" max="4876" width="11.109375" style="210" customWidth="1"/>
    <col min="4877" max="4877" width="15.44140625" style="210" customWidth="1"/>
    <col min="4878" max="5120" width="8.88671875" style="210"/>
    <col min="5121" max="5121" width="7.44140625" style="210" customWidth="1"/>
    <col min="5122" max="5122" width="9.109375" style="210" customWidth="1"/>
    <col min="5123" max="5123" width="4.88671875" style="210" customWidth="1"/>
    <col min="5124" max="5124" width="7.44140625" style="210" customWidth="1"/>
    <col min="5125" max="5125" width="6.5546875" style="210" customWidth="1"/>
    <col min="5126" max="5126" width="10" style="210" customWidth="1"/>
    <col min="5127" max="5127" width="2" style="210" customWidth="1"/>
    <col min="5128" max="5128" width="20.44140625" style="210" customWidth="1"/>
    <col min="5129" max="5129" width="7.88671875" style="210" customWidth="1"/>
    <col min="5130" max="5130" width="4.44140625" style="210" customWidth="1"/>
    <col min="5131" max="5131" width="13.33203125" style="210" customWidth="1"/>
    <col min="5132" max="5132" width="11.109375" style="210" customWidth="1"/>
    <col min="5133" max="5133" width="15.44140625" style="210" customWidth="1"/>
    <col min="5134" max="5376" width="8.88671875" style="210"/>
    <col min="5377" max="5377" width="7.44140625" style="210" customWidth="1"/>
    <col min="5378" max="5378" width="9.109375" style="210" customWidth="1"/>
    <col min="5379" max="5379" width="4.88671875" style="210" customWidth="1"/>
    <col min="5380" max="5380" width="7.44140625" style="210" customWidth="1"/>
    <col min="5381" max="5381" width="6.5546875" style="210" customWidth="1"/>
    <col min="5382" max="5382" width="10" style="210" customWidth="1"/>
    <col min="5383" max="5383" width="2" style="210" customWidth="1"/>
    <col min="5384" max="5384" width="20.44140625" style="210" customWidth="1"/>
    <col min="5385" max="5385" width="7.88671875" style="210" customWidth="1"/>
    <col min="5386" max="5386" width="4.44140625" style="210" customWidth="1"/>
    <col min="5387" max="5387" width="13.33203125" style="210" customWidth="1"/>
    <col min="5388" max="5388" width="11.109375" style="210" customWidth="1"/>
    <col min="5389" max="5389" width="15.44140625" style="210" customWidth="1"/>
    <col min="5390" max="5632" width="8.88671875" style="210"/>
    <col min="5633" max="5633" width="7.44140625" style="210" customWidth="1"/>
    <col min="5634" max="5634" width="9.109375" style="210" customWidth="1"/>
    <col min="5635" max="5635" width="4.88671875" style="210" customWidth="1"/>
    <col min="5636" max="5636" width="7.44140625" style="210" customWidth="1"/>
    <col min="5637" max="5637" width="6.5546875" style="210" customWidth="1"/>
    <col min="5638" max="5638" width="10" style="210" customWidth="1"/>
    <col min="5639" max="5639" width="2" style="210" customWidth="1"/>
    <col min="5640" max="5640" width="20.44140625" style="210" customWidth="1"/>
    <col min="5641" max="5641" width="7.88671875" style="210" customWidth="1"/>
    <col min="5642" max="5642" width="4.44140625" style="210" customWidth="1"/>
    <col min="5643" max="5643" width="13.33203125" style="210" customWidth="1"/>
    <col min="5644" max="5644" width="11.109375" style="210" customWidth="1"/>
    <col min="5645" max="5645" width="15.44140625" style="210" customWidth="1"/>
    <col min="5646" max="5888" width="8.88671875" style="210"/>
    <col min="5889" max="5889" width="7.44140625" style="210" customWidth="1"/>
    <col min="5890" max="5890" width="9.109375" style="210" customWidth="1"/>
    <col min="5891" max="5891" width="4.88671875" style="210" customWidth="1"/>
    <col min="5892" max="5892" width="7.44140625" style="210" customWidth="1"/>
    <col min="5893" max="5893" width="6.5546875" style="210" customWidth="1"/>
    <col min="5894" max="5894" width="10" style="210" customWidth="1"/>
    <col min="5895" max="5895" width="2" style="210" customWidth="1"/>
    <col min="5896" max="5896" width="20.44140625" style="210" customWidth="1"/>
    <col min="5897" max="5897" width="7.88671875" style="210" customWidth="1"/>
    <col min="5898" max="5898" width="4.44140625" style="210" customWidth="1"/>
    <col min="5899" max="5899" width="13.33203125" style="210" customWidth="1"/>
    <col min="5900" max="5900" width="11.109375" style="210" customWidth="1"/>
    <col min="5901" max="5901" width="15.44140625" style="210" customWidth="1"/>
    <col min="5902" max="6144" width="8.88671875" style="210"/>
    <col min="6145" max="6145" width="7.44140625" style="210" customWidth="1"/>
    <col min="6146" max="6146" width="9.109375" style="210" customWidth="1"/>
    <col min="6147" max="6147" width="4.88671875" style="210" customWidth="1"/>
    <col min="6148" max="6148" width="7.44140625" style="210" customWidth="1"/>
    <col min="6149" max="6149" width="6.5546875" style="210" customWidth="1"/>
    <col min="6150" max="6150" width="10" style="210" customWidth="1"/>
    <col min="6151" max="6151" width="2" style="210" customWidth="1"/>
    <col min="6152" max="6152" width="20.44140625" style="210" customWidth="1"/>
    <col min="6153" max="6153" width="7.88671875" style="210" customWidth="1"/>
    <col min="6154" max="6154" width="4.44140625" style="210" customWidth="1"/>
    <col min="6155" max="6155" width="13.33203125" style="210" customWidth="1"/>
    <col min="6156" max="6156" width="11.109375" style="210" customWidth="1"/>
    <col min="6157" max="6157" width="15.44140625" style="210" customWidth="1"/>
    <col min="6158" max="6400" width="8.88671875" style="210"/>
    <col min="6401" max="6401" width="7.44140625" style="210" customWidth="1"/>
    <col min="6402" max="6402" width="9.109375" style="210" customWidth="1"/>
    <col min="6403" max="6403" width="4.88671875" style="210" customWidth="1"/>
    <col min="6404" max="6404" width="7.44140625" style="210" customWidth="1"/>
    <col min="6405" max="6405" width="6.5546875" style="210" customWidth="1"/>
    <col min="6406" max="6406" width="10" style="210" customWidth="1"/>
    <col min="6407" max="6407" width="2" style="210" customWidth="1"/>
    <col min="6408" max="6408" width="20.44140625" style="210" customWidth="1"/>
    <col min="6409" max="6409" width="7.88671875" style="210" customWidth="1"/>
    <col min="6410" max="6410" width="4.44140625" style="210" customWidth="1"/>
    <col min="6411" max="6411" width="13.33203125" style="210" customWidth="1"/>
    <col min="6412" max="6412" width="11.109375" style="210" customWidth="1"/>
    <col min="6413" max="6413" width="15.44140625" style="210" customWidth="1"/>
    <col min="6414" max="6656" width="8.88671875" style="210"/>
    <col min="6657" max="6657" width="7.44140625" style="210" customWidth="1"/>
    <col min="6658" max="6658" width="9.109375" style="210" customWidth="1"/>
    <col min="6659" max="6659" width="4.88671875" style="210" customWidth="1"/>
    <col min="6660" max="6660" width="7.44140625" style="210" customWidth="1"/>
    <col min="6661" max="6661" width="6.5546875" style="210" customWidth="1"/>
    <col min="6662" max="6662" width="10" style="210" customWidth="1"/>
    <col min="6663" max="6663" width="2" style="210" customWidth="1"/>
    <col min="6664" max="6664" width="20.44140625" style="210" customWidth="1"/>
    <col min="6665" max="6665" width="7.88671875" style="210" customWidth="1"/>
    <col min="6666" max="6666" width="4.44140625" style="210" customWidth="1"/>
    <col min="6667" max="6667" width="13.33203125" style="210" customWidth="1"/>
    <col min="6668" max="6668" width="11.109375" style="210" customWidth="1"/>
    <col min="6669" max="6669" width="15.44140625" style="210" customWidth="1"/>
    <col min="6670" max="6912" width="8.88671875" style="210"/>
    <col min="6913" max="6913" width="7.44140625" style="210" customWidth="1"/>
    <col min="6914" max="6914" width="9.109375" style="210" customWidth="1"/>
    <col min="6915" max="6915" width="4.88671875" style="210" customWidth="1"/>
    <col min="6916" max="6916" width="7.44140625" style="210" customWidth="1"/>
    <col min="6917" max="6917" width="6.5546875" style="210" customWidth="1"/>
    <col min="6918" max="6918" width="10" style="210" customWidth="1"/>
    <col min="6919" max="6919" width="2" style="210" customWidth="1"/>
    <col min="6920" max="6920" width="20.44140625" style="210" customWidth="1"/>
    <col min="6921" max="6921" width="7.88671875" style="210" customWidth="1"/>
    <col min="6922" max="6922" width="4.44140625" style="210" customWidth="1"/>
    <col min="6923" max="6923" width="13.33203125" style="210" customWidth="1"/>
    <col min="6924" max="6924" width="11.109375" style="210" customWidth="1"/>
    <col min="6925" max="6925" width="15.44140625" style="210" customWidth="1"/>
    <col min="6926" max="7168" width="8.88671875" style="210"/>
    <col min="7169" max="7169" width="7.44140625" style="210" customWidth="1"/>
    <col min="7170" max="7170" width="9.109375" style="210" customWidth="1"/>
    <col min="7171" max="7171" width="4.88671875" style="210" customWidth="1"/>
    <col min="7172" max="7172" width="7.44140625" style="210" customWidth="1"/>
    <col min="7173" max="7173" width="6.5546875" style="210" customWidth="1"/>
    <col min="7174" max="7174" width="10" style="210" customWidth="1"/>
    <col min="7175" max="7175" width="2" style="210" customWidth="1"/>
    <col min="7176" max="7176" width="20.44140625" style="210" customWidth="1"/>
    <col min="7177" max="7177" width="7.88671875" style="210" customWidth="1"/>
    <col min="7178" max="7178" width="4.44140625" style="210" customWidth="1"/>
    <col min="7179" max="7179" width="13.33203125" style="210" customWidth="1"/>
    <col min="7180" max="7180" width="11.109375" style="210" customWidth="1"/>
    <col min="7181" max="7181" width="15.44140625" style="210" customWidth="1"/>
    <col min="7182" max="7424" width="8.88671875" style="210"/>
    <col min="7425" max="7425" width="7.44140625" style="210" customWidth="1"/>
    <col min="7426" max="7426" width="9.109375" style="210" customWidth="1"/>
    <col min="7427" max="7427" width="4.88671875" style="210" customWidth="1"/>
    <col min="7428" max="7428" width="7.44140625" style="210" customWidth="1"/>
    <col min="7429" max="7429" width="6.5546875" style="210" customWidth="1"/>
    <col min="7430" max="7430" width="10" style="210" customWidth="1"/>
    <col min="7431" max="7431" width="2" style="210" customWidth="1"/>
    <col min="7432" max="7432" width="20.44140625" style="210" customWidth="1"/>
    <col min="7433" max="7433" width="7.88671875" style="210" customWidth="1"/>
    <col min="7434" max="7434" width="4.44140625" style="210" customWidth="1"/>
    <col min="7435" max="7435" width="13.33203125" style="210" customWidth="1"/>
    <col min="7436" max="7436" width="11.109375" style="210" customWidth="1"/>
    <col min="7437" max="7437" width="15.44140625" style="210" customWidth="1"/>
    <col min="7438" max="7680" width="8.88671875" style="210"/>
    <col min="7681" max="7681" width="7.44140625" style="210" customWidth="1"/>
    <col min="7682" max="7682" width="9.109375" style="210" customWidth="1"/>
    <col min="7683" max="7683" width="4.88671875" style="210" customWidth="1"/>
    <col min="7684" max="7684" width="7.44140625" style="210" customWidth="1"/>
    <col min="7685" max="7685" width="6.5546875" style="210" customWidth="1"/>
    <col min="7686" max="7686" width="10" style="210" customWidth="1"/>
    <col min="7687" max="7687" width="2" style="210" customWidth="1"/>
    <col min="7688" max="7688" width="20.44140625" style="210" customWidth="1"/>
    <col min="7689" max="7689" width="7.88671875" style="210" customWidth="1"/>
    <col min="7690" max="7690" width="4.44140625" style="210" customWidth="1"/>
    <col min="7691" max="7691" width="13.33203125" style="210" customWidth="1"/>
    <col min="7692" max="7692" width="11.109375" style="210" customWidth="1"/>
    <col min="7693" max="7693" width="15.44140625" style="210" customWidth="1"/>
    <col min="7694" max="7936" width="8.88671875" style="210"/>
    <col min="7937" max="7937" width="7.44140625" style="210" customWidth="1"/>
    <col min="7938" max="7938" width="9.109375" style="210" customWidth="1"/>
    <col min="7939" max="7939" width="4.88671875" style="210" customWidth="1"/>
    <col min="7940" max="7940" width="7.44140625" style="210" customWidth="1"/>
    <col min="7941" max="7941" width="6.5546875" style="210" customWidth="1"/>
    <col min="7942" max="7942" width="10" style="210" customWidth="1"/>
    <col min="7943" max="7943" width="2" style="210" customWidth="1"/>
    <col min="7944" max="7944" width="20.44140625" style="210" customWidth="1"/>
    <col min="7945" max="7945" width="7.88671875" style="210" customWidth="1"/>
    <col min="7946" max="7946" width="4.44140625" style="210" customWidth="1"/>
    <col min="7947" max="7947" width="13.33203125" style="210" customWidth="1"/>
    <col min="7948" max="7948" width="11.109375" style="210" customWidth="1"/>
    <col min="7949" max="7949" width="15.44140625" style="210" customWidth="1"/>
    <col min="7950" max="8192" width="8.88671875" style="210"/>
    <col min="8193" max="8193" width="7.44140625" style="210" customWidth="1"/>
    <col min="8194" max="8194" width="9.109375" style="210" customWidth="1"/>
    <col min="8195" max="8195" width="4.88671875" style="210" customWidth="1"/>
    <col min="8196" max="8196" width="7.44140625" style="210" customWidth="1"/>
    <col min="8197" max="8197" width="6.5546875" style="210" customWidth="1"/>
    <col min="8198" max="8198" width="10" style="210" customWidth="1"/>
    <col min="8199" max="8199" width="2" style="210" customWidth="1"/>
    <col min="8200" max="8200" width="20.44140625" style="210" customWidth="1"/>
    <col min="8201" max="8201" width="7.88671875" style="210" customWidth="1"/>
    <col min="8202" max="8202" width="4.44140625" style="210" customWidth="1"/>
    <col min="8203" max="8203" width="13.33203125" style="210" customWidth="1"/>
    <col min="8204" max="8204" width="11.109375" style="210" customWidth="1"/>
    <col min="8205" max="8205" width="15.44140625" style="210" customWidth="1"/>
    <col min="8206" max="8448" width="8.88671875" style="210"/>
    <col min="8449" max="8449" width="7.44140625" style="210" customWidth="1"/>
    <col min="8450" max="8450" width="9.109375" style="210" customWidth="1"/>
    <col min="8451" max="8451" width="4.88671875" style="210" customWidth="1"/>
    <col min="8452" max="8452" width="7.44140625" style="210" customWidth="1"/>
    <col min="8453" max="8453" width="6.5546875" style="210" customWidth="1"/>
    <col min="8454" max="8454" width="10" style="210" customWidth="1"/>
    <col min="8455" max="8455" width="2" style="210" customWidth="1"/>
    <col min="8456" max="8456" width="20.44140625" style="210" customWidth="1"/>
    <col min="8457" max="8457" width="7.88671875" style="210" customWidth="1"/>
    <col min="8458" max="8458" width="4.44140625" style="210" customWidth="1"/>
    <col min="8459" max="8459" width="13.33203125" style="210" customWidth="1"/>
    <col min="8460" max="8460" width="11.109375" style="210" customWidth="1"/>
    <col min="8461" max="8461" width="15.44140625" style="210" customWidth="1"/>
    <col min="8462" max="8704" width="8.88671875" style="210"/>
    <col min="8705" max="8705" width="7.44140625" style="210" customWidth="1"/>
    <col min="8706" max="8706" width="9.109375" style="210" customWidth="1"/>
    <col min="8707" max="8707" width="4.88671875" style="210" customWidth="1"/>
    <col min="8708" max="8708" width="7.44140625" style="210" customWidth="1"/>
    <col min="8709" max="8709" width="6.5546875" style="210" customWidth="1"/>
    <col min="8710" max="8710" width="10" style="210" customWidth="1"/>
    <col min="8711" max="8711" width="2" style="210" customWidth="1"/>
    <col min="8712" max="8712" width="20.44140625" style="210" customWidth="1"/>
    <col min="8713" max="8713" width="7.88671875" style="210" customWidth="1"/>
    <col min="8714" max="8714" width="4.44140625" style="210" customWidth="1"/>
    <col min="8715" max="8715" width="13.33203125" style="210" customWidth="1"/>
    <col min="8716" max="8716" width="11.109375" style="210" customWidth="1"/>
    <col min="8717" max="8717" width="15.44140625" style="210" customWidth="1"/>
    <col min="8718" max="8960" width="8.88671875" style="210"/>
    <col min="8961" max="8961" width="7.44140625" style="210" customWidth="1"/>
    <col min="8962" max="8962" width="9.109375" style="210" customWidth="1"/>
    <col min="8963" max="8963" width="4.88671875" style="210" customWidth="1"/>
    <col min="8964" max="8964" width="7.44140625" style="210" customWidth="1"/>
    <col min="8965" max="8965" width="6.5546875" style="210" customWidth="1"/>
    <col min="8966" max="8966" width="10" style="210" customWidth="1"/>
    <col min="8967" max="8967" width="2" style="210" customWidth="1"/>
    <col min="8968" max="8968" width="20.44140625" style="210" customWidth="1"/>
    <col min="8969" max="8969" width="7.88671875" style="210" customWidth="1"/>
    <col min="8970" max="8970" width="4.44140625" style="210" customWidth="1"/>
    <col min="8971" max="8971" width="13.33203125" style="210" customWidth="1"/>
    <col min="8972" max="8972" width="11.109375" style="210" customWidth="1"/>
    <col min="8973" max="8973" width="15.44140625" style="210" customWidth="1"/>
    <col min="8974" max="9216" width="8.88671875" style="210"/>
    <col min="9217" max="9217" width="7.44140625" style="210" customWidth="1"/>
    <col min="9218" max="9218" width="9.109375" style="210" customWidth="1"/>
    <col min="9219" max="9219" width="4.88671875" style="210" customWidth="1"/>
    <col min="9220" max="9220" width="7.44140625" style="210" customWidth="1"/>
    <col min="9221" max="9221" width="6.5546875" style="210" customWidth="1"/>
    <col min="9222" max="9222" width="10" style="210" customWidth="1"/>
    <col min="9223" max="9223" width="2" style="210" customWidth="1"/>
    <col min="9224" max="9224" width="20.44140625" style="210" customWidth="1"/>
    <col min="9225" max="9225" width="7.88671875" style="210" customWidth="1"/>
    <col min="9226" max="9226" width="4.44140625" style="210" customWidth="1"/>
    <col min="9227" max="9227" width="13.33203125" style="210" customWidth="1"/>
    <col min="9228" max="9228" width="11.109375" style="210" customWidth="1"/>
    <col min="9229" max="9229" width="15.44140625" style="210" customWidth="1"/>
    <col min="9230" max="9472" width="8.88671875" style="210"/>
    <col min="9473" max="9473" width="7.44140625" style="210" customWidth="1"/>
    <col min="9474" max="9474" width="9.109375" style="210" customWidth="1"/>
    <col min="9475" max="9475" width="4.88671875" style="210" customWidth="1"/>
    <col min="9476" max="9476" width="7.44140625" style="210" customWidth="1"/>
    <col min="9477" max="9477" width="6.5546875" style="210" customWidth="1"/>
    <col min="9478" max="9478" width="10" style="210" customWidth="1"/>
    <col min="9479" max="9479" width="2" style="210" customWidth="1"/>
    <col min="9480" max="9480" width="20.44140625" style="210" customWidth="1"/>
    <col min="9481" max="9481" width="7.88671875" style="210" customWidth="1"/>
    <col min="9482" max="9482" width="4.44140625" style="210" customWidth="1"/>
    <col min="9483" max="9483" width="13.33203125" style="210" customWidth="1"/>
    <col min="9484" max="9484" width="11.109375" style="210" customWidth="1"/>
    <col min="9485" max="9485" width="15.44140625" style="210" customWidth="1"/>
    <col min="9486" max="9728" width="8.88671875" style="210"/>
    <col min="9729" max="9729" width="7.44140625" style="210" customWidth="1"/>
    <col min="9730" max="9730" width="9.109375" style="210" customWidth="1"/>
    <col min="9731" max="9731" width="4.88671875" style="210" customWidth="1"/>
    <col min="9732" max="9732" width="7.44140625" style="210" customWidth="1"/>
    <col min="9733" max="9733" width="6.5546875" style="210" customWidth="1"/>
    <col min="9734" max="9734" width="10" style="210" customWidth="1"/>
    <col min="9735" max="9735" width="2" style="210" customWidth="1"/>
    <col min="9736" max="9736" width="20.44140625" style="210" customWidth="1"/>
    <col min="9737" max="9737" width="7.88671875" style="210" customWidth="1"/>
    <col min="9738" max="9738" width="4.44140625" style="210" customWidth="1"/>
    <col min="9739" max="9739" width="13.33203125" style="210" customWidth="1"/>
    <col min="9740" max="9740" width="11.109375" style="210" customWidth="1"/>
    <col min="9741" max="9741" width="15.44140625" style="210" customWidth="1"/>
    <col min="9742" max="9984" width="8.88671875" style="210"/>
    <col min="9985" max="9985" width="7.44140625" style="210" customWidth="1"/>
    <col min="9986" max="9986" width="9.109375" style="210" customWidth="1"/>
    <col min="9987" max="9987" width="4.88671875" style="210" customWidth="1"/>
    <col min="9988" max="9988" width="7.44140625" style="210" customWidth="1"/>
    <col min="9989" max="9989" width="6.5546875" style="210" customWidth="1"/>
    <col min="9990" max="9990" width="10" style="210" customWidth="1"/>
    <col min="9991" max="9991" width="2" style="210" customWidth="1"/>
    <col min="9992" max="9992" width="20.44140625" style="210" customWidth="1"/>
    <col min="9993" max="9993" width="7.88671875" style="210" customWidth="1"/>
    <col min="9994" max="9994" width="4.44140625" style="210" customWidth="1"/>
    <col min="9995" max="9995" width="13.33203125" style="210" customWidth="1"/>
    <col min="9996" max="9996" width="11.109375" style="210" customWidth="1"/>
    <col min="9997" max="9997" width="15.44140625" style="210" customWidth="1"/>
    <col min="9998" max="10240" width="8.88671875" style="210"/>
    <col min="10241" max="10241" width="7.44140625" style="210" customWidth="1"/>
    <col min="10242" max="10242" width="9.109375" style="210" customWidth="1"/>
    <col min="10243" max="10243" width="4.88671875" style="210" customWidth="1"/>
    <col min="10244" max="10244" width="7.44140625" style="210" customWidth="1"/>
    <col min="10245" max="10245" width="6.5546875" style="210" customWidth="1"/>
    <col min="10246" max="10246" width="10" style="210" customWidth="1"/>
    <col min="10247" max="10247" width="2" style="210" customWidth="1"/>
    <col min="10248" max="10248" width="20.44140625" style="210" customWidth="1"/>
    <col min="10249" max="10249" width="7.88671875" style="210" customWidth="1"/>
    <col min="10250" max="10250" width="4.44140625" style="210" customWidth="1"/>
    <col min="10251" max="10251" width="13.33203125" style="210" customWidth="1"/>
    <col min="10252" max="10252" width="11.109375" style="210" customWidth="1"/>
    <col min="10253" max="10253" width="15.44140625" style="210" customWidth="1"/>
    <col min="10254" max="10496" width="8.88671875" style="210"/>
    <col min="10497" max="10497" width="7.44140625" style="210" customWidth="1"/>
    <col min="10498" max="10498" width="9.109375" style="210" customWidth="1"/>
    <col min="10499" max="10499" width="4.88671875" style="210" customWidth="1"/>
    <col min="10500" max="10500" width="7.44140625" style="210" customWidth="1"/>
    <col min="10501" max="10501" width="6.5546875" style="210" customWidth="1"/>
    <col min="10502" max="10502" width="10" style="210" customWidth="1"/>
    <col min="10503" max="10503" width="2" style="210" customWidth="1"/>
    <col min="10504" max="10504" width="20.44140625" style="210" customWidth="1"/>
    <col min="10505" max="10505" width="7.88671875" style="210" customWidth="1"/>
    <col min="10506" max="10506" width="4.44140625" style="210" customWidth="1"/>
    <col min="10507" max="10507" width="13.33203125" style="210" customWidth="1"/>
    <col min="10508" max="10508" width="11.109375" style="210" customWidth="1"/>
    <col min="10509" max="10509" width="15.44140625" style="210" customWidth="1"/>
    <col min="10510" max="10752" width="8.88671875" style="210"/>
    <col min="10753" max="10753" width="7.44140625" style="210" customWidth="1"/>
    <col min="10754" max="10754" width="9.109375" style="210" customWidth="1"/>
    <col min="10755" max="10755" width="4.88671875" style="210" customWidth="1"/>
    <col min="10756" max="10756" width="7.44140625" style="210" customWidth="1"/>
    <col min="10757" max="10757" width="6.5546875" style="210" customWidth="1"/>
    <col min="10758" max="10758" width="10" style="210" customWidth="1"/>
    <col min="10759" max="10759" width="2" style="210" customWidth="1"/>
    <col min="10760" max="10760" width="20.44140625" style="210" customWidth="1"/>
    <col min="10761" max="10761" width="7.88671875" style="210" customWidth="1"/>
    <col min="10762" max="10762" width="4.44140625" style="210" customWidth="1"/>
    <col min="10763" max="10763" width="13.33203125" style="210" customWidth="1"/>
    <col min="10764" max="10764" width="11.109375" style="210" customWidth="1"/>
    <col min="10765" max="10765" width="15.44140625" style="210" customWidth="1"/>
    <col min="10766" max="11008" width="8.88671875" style="210"/>
    <col min="11009" max="11009" width="7.44140625" style="210" customWidth="1"/>
    <col min="11010" max="11010" width="9.109375" style="210" customWidth="1"/>
    <col min="11011" max="11011" width="4.88671875" style="210" customWidth="1"/>
    <col min="11012" max="11012" width="7.44140625" style="210" customWidth="1"/>
    <col min="11013" max="11013" width="6.5546875" style="210" customWidth="1"/>
    <col min="11014" max="11014" width="10" style="210" customWidth="1"/>
    <col min="11015" max="11015" width="2" style="210" customWidth="1"/>
    <col min="11016" max="11016" width="20.44140625" style="210" customWidth="1"/>
    <col min="11017" max="11017" width="7.88671875" style="210" customWidth="1"/>
    <col min="11018" max="11018" width="4.44140625" style="210" customWidth="1"/>
    <col min="11019" max="11019" width="13.33203125" style="210" customWidth="1"/>
    <col min="11020" max="11020" width="11.109375" style="210" customWidth="1"/>
    <col min="11021" max="11021" width="15.44140625" style="210" customWidth="1"/>
    <col min="11022" max="11264" width="8.88671875" style="210"/>
    <col min="11265" max="11265" width="7.44140625" style="210" customWidth="1"/>
    <col min="11266" max="11266" width="9.109375" style="210" customWidth="1"/>
    <col min="11267" max="11267" width="4.88671875" style="210" customWidth="1"/>
    <col min="11268" max="11268" width="7.44140625" style="210" customWidth="1"/>
    <col min="11269" max="11269" width="6.5546875" style="210" customWidth="1"/>
    <col min="11270" max="11270" width="10" style="210" customWidth="1"/>
    <col min="11271" max="11271" width="2" style="210" customWidth="1"/>
    <col min="11272" max="11272" width="20.44140625" style="210" customWidth="1"/>
    <col min="11273" max="11273" width="7.88671875" style="210" customWidth="1"/>
    <col min="11274" max="11274" width="4.44140625" style="210" customWidth="1"/>
    <col min="11275" max="11275" width="13.33203125" style="210" customWidth="1"/>
    <col min="11276" max="11276" width="11.109375" style="210" customWidth="1"/>
    <col min="11277" max="11277" width="15.44140625" style="210" customWidth="1"/>
    <col min="11278" max="11520" width="8.88671875" style="210"/>
    <col min="11521" max="11521" width="7.44140625" style="210" customWidth="1"/>
    <col min="11522" max="11522" width="9.109375" style="210" customWidth="1"/>
    <col min="11523" max="11523" width="4.88671875" style="210" customWidth="1"/>
    <col min="11524" max="11524" width="7.44140625" style="210" customWidth="1"/>
    <col min="11525" max="11525" width="6.5546875" style="210" customWidth="1"/>
    <col min="11526" max="11526" width="10" style="210" customWidth="1"/>
    <col min="11527" max="11527" width="2" style="210" customWidth="1"/>
    <col min="11528" max="11528" width="20.44140625" style="210" customWidth="1"/>
    <col min="11529" max="11529" width="7.88671875" style="210" customWidth="1"/>
    <col min="11530" max="11530" width="4.44140625" style="210" customWidth="1"/>
    <col min="11531" max="11531" width="13.33203125" style="210" customWidth="1"/>
    <col min="11532" max="11532" width="11.109375" style="210" customWidth="1"/>
    <col min="11533" max="11533" width="15.44140625" style="210" customWidth="1"/>
    <col min="11534" max="11776" width="8.88671875" style="210"/>
    <col min="11777" max="11777" width="7.44140625" style="210" customWidth="1"/>
    <col min="11778" max="11778" width="9.109375" style="210" customWidth="1"/>
    <col min="11779" max="11779" width="4.88671875" style="210" customWidth="1"/>
    <col min="11780" max="11780" width="7.44140625" style="210" customWidth="1"/>
    <col min="11781" max="11781" width="6.5546875" style="210" customWidth="1"/>
    <col min="11782" max="11782" width="10" style="210" customWidth="1"/>
    <col min="11783" max="11783" width="2" style="210" customWidth="1"/>
    <col min="11784" max="11784" width="20.44140625" style="210" customWidth="1"/>
    <col min="11785" max="11785" width="7.88671875" style="210" customWidth="1"/>
    <col min="11786" max="11786" width="4.44140625" style="210" customWidth="1"/>
    <col min="11787" max="11787" width="13.33203125" style="210" customWidth="1"/>
    <col min="11788" max="11788" width="11.109375" style="210" customWidth="1"/>
    <col min="11789" max="11789" width="15.44140625" style="210" customWidth="1"/>
    <col min="11790" max="12032" width="8.88671875" style="210"/>
    <col min="12033" max="12033" width="7.44140625" style="210" customWidth="1"/>
    <col min="12034" max="12034" width="9.109375" style="210" customWidth="1"/>
    <col min="12035" max="12035" width="4.88671875" style="210" customWidth="1"/>
    <col min="12036" max="12036" width="7.44140625" style="210" customWidth="1"/>
    <col min="12037" max="12037" width="6.5546875" style="210" customWidth="1"/>
    <col min="12038" max="12038" width="10" style="210" customWidth="1"/>
    <col min="12039" max="12039" width="2" style="210" customWidth="1"/>
    <col min="12040" max="12040" width="20.44140625" style="210" customWidth="1"/>
    <col min="12041" max="12041" width="7.88671875" style="210" customWidth="1"/>
    <col min="12042" max="12042" width="4.44140625" style="210" customWidth="1"/>
    <col min="12043" max="12043" width="13.33203125" style="210" customWidth="1"/>
    <col min="12044" max="12044" width="11.109375" style="210" customWidth="1"/>
    <col min="12045" max="12045" width="15.44140625" style="210" customWidth="1"/>
    <col min="12046" max="12288" width="8.88671875" style="210"/>
    <col min="12289" max="12289" width="7.44140625" style="210" customWidth="1"/>
    <col min="12290" max="12290" width="9.109375" style="210" customWidth="1"/>
    <col min="12291" max="12291" width="4.88671875" style="210" customWidth="1"/>
    <col min="12292" max="12292" width="7.44140625" style="210" customWidth="1"/>
    <col min="12293" max="12293" width="6.5546875" style="210" customWidth="1"/>
    <col min="12294" max="12294" width="10" style="210" customWidth="1"/>
    <col min="12295" max="12295" width="2" style="210" customWidth="1"/>
    <col min="12296" max="12296" width="20.44140625" style="210" customWidth="1"/>
    <col min="12297" max="12297" width="7.88671875" style="210" customWidth="1"/>
    <col min="12298" max="12298" width="4.44140625" style="210" customWidth="1"/>
    <col min="12299" max="12299" width="13.33203125" style="210" customWidth="1"/>
    <col min="12300" max="12300" width="11.109375" style="210" customWidth="1"/>
    <col min="12301" max="12301" width="15.44140625" style="210" customWidth="1"/>
    <col min="12302" max="12544" width="8.88671875" style="210"/>
    <col min="12545" max="12545" width="7.44140625" style="210" customWidth="1"/>
    <col min="12546" max="12546" width="9.109375" style="210" customWidth="1"/>
    <col min="12547" max="12547" width="4.88671875" style="210" customWidth="1"/>
    <col min="12548" max="12548" width="7.44140625" style="210" customWidth="1"/>
    <col min="12549" max="12549" width="6.5546875" style="210" customWidth="1"/>
    <col min="12550" max="12550" width="10" style="210" customWidth="1"/>
    <col min="12551" max="12551" width="2" style="210" customWidth="1"/>
    <col min="12552" max="12552" width="20.44140625" style="210" customWidth="1"/>
    <col min="12553" max="12553" width="7.88671875" style="210" customWidth="1"/>
    <col min="12554" max="12554" width="4.44140625" style="210" customWidth="1"/>
    <col min="12555" max="12555" width="13.33203125" style="210" customWidth="1"/>
    <col min="12556" max="12556" width="11.109375" style="210" customWidth="1"/>
    <col min="12557" max="12557" width="15.44140625" style="210" customWidth="1"/>
    <col min="12558" max="12800" width="8.88671875" style="210"/>
    <col min="12801" max="12801" width="7.44140625" style="210" customWidth="1"/>
    <col min="12802" max="12802" width="9.109375" style="210" customWidth="1"/>
    <col min="12803" max="12803" width="4.88671875" style="210" customWidth="1"/>
    <col min="12804" max="12804" width="7.44140625" style="210" customWidth="1"/>
    <col min="12805" max="12805" width="6.5546875" style="210" customWidth="1"/>
    <col min="12806" max="12806" width="10" style="210" customWidth="1"/>
    <col min="12807" max="12807" width="2" style="210" customWidth="1"/>
    <col min="12808" max="12808" width="20.44140625" style="210" customWidth="1"/>
    <col min="12809" max="12809" width="7.88671875" style="210" customWidth="1"/>
    <col min="12810" max="12810" width="4.44140625" style="210" customWidth="1"/>
    <col min="12811" max="12811" width="13.33203125" style="210" customWidth="1"/>
    <col min="12812" max="12812" width="11.109375" style="210" customWidth="1"/>
    <col min="12813" max="12813" width="15.44140625" style="210" customWidth="1"/>
    <col min="12814" max="13056" width="8.88671875" style="210"/>
    <col min="13057" max="13057" width="7.44140625" style="210" customWidth="1"/>
    <col min="13058" max="13058" width="9.109375" style="210" customWidth="1"/>
    <col min="13059" max="13059" width="4.88671875" style="210" customWidth="1"/>
    <col min="13060" max="13060" width="7.44140625" style="210" customWidth="1"/>
    <col min="13061" max="13061" width="6.5546875" style="210" customWidth="1"/>
    <col min="13062" max="13062" width="10" style="210" customWidth="1"/>
    <col min="13063" max="13063" width="2" style="210" customWidth="1"/>
    <col min="13064" max="13064" width="20.44140625" style="210" customWidth="1"/>
    <col min="13065" max="13065" width="7.88671875" style="210" customWidth="1"/>
    <col min="13066" max="13066" width="4.44140625" style="210" customWidth="1"/>
    <col min="13067" max="13067" width="13.33203125" style="210" customWidth="1"/>
    <col min="13068" max="13068" width="11.109375" style="210" customWidth="1"/>
    <col min="13069" max="13069" width="15.44140625" style="210" customWidth="1"/>
    <col min="13070" max="13312" width="8.88671875" style="210"/>
    <col min="13313" max="13313" width="7.44140625" style="210" customWidth="1"/>
    <col min="13314" max="13314" width="9.109375" style="210" customWidth="1"/>
    <col min="13315" max="13315" width="4.88671875" style="210" customWidth="1"/>
    <col min="13316" max="13316" width="7.44140625" style="210" customWidth="1"/>
    <col min="13317" max="13317" width="6.5546875" style="210" customWidth="1"/>
    <col min="13318" max="13318" width="10" style="210" customWidth="1"/>
    <col min="13319" max="13319" width="2" style="210" customWidth="1"/>
    <col min="13320" max="13320" width="20.44140625" style="210" customWidth="1"/>
    <col min="13321" max="13321" width="7.88671875" style="210" customWidth="1"/>
    <col min="13322" max="13322" width="4.44140625" style="210" customWidth="1"/>
    <col min="13323" max="13323" width="13.33203125" style="210" customWidth="1"/>
    <col min="13324" max="13324" width="11.109375" style="210" customWidth="1"/>
    <col min="13325" max="13325" width="15.44140625" style="210" customWidth="1"/>
    <col min="13326" max="13568" width="8.88671875" style="210"/>
    <col min="13569" max="13569" width="7.44140625" style="210" customWidth="1"/>
    <col min="13570" max="13570" width="9.109375" style="210" customWidth="1"/>
    <col min="13571" max="13571" width="4.88671875" style="210" customWidth="1"/>
    <col min="13572" max="13572" width="7.44140625" style="210" customWidth="1"/>
    <col min="13573" max="13573" width="6.5546875" style="210" customWidth="1"/>
    <col min="13574" max="13574" width="10" style="210" customWidth="1"/>
    <col min="13575" max="13575" width="2" style="210" customWidth="1"/>
    <col min="13576" max="13576" width="20.44140625" style="210" customWidth="1"/>
    <col min="13577" max="13577" width="7.88671875" style="210" customWidth="1"/>
    <col min="13578" max="13578" width="4.44140625" style="210" customWidth="1"/>
    <col min="13579" max="13579" width="13.33203125" style="210" customWidth="1"/>
    <col min="13580" max="13580" width="11.109375" style="210" customWidth="1"/>
    <col min="13581" max="13581" width="15.44140625" style="210" customWidth="1"/>
    <col min="13582" max="13824" width="8.88671875" style="210"/>
    <col min="13825" max="13825" width="7.44140625" style="210" customWidth="1"/>
    <col min="13826" max="13826" width="9.109375" style="210" customWidth="1"/>
    <col min="13827" max="13827" width="4.88671875" style="210" customWidth="1"/>
    <col min="13828" max="13828" width="7.44140625" style="210" customWidth="1"/>
    <col min="13829" max="13829" width="6.5546875" style="210" customWidth="1"/>
    <col min="13830" max="13830" width="10" style="210" customWidth="1"/>
    <col min="13831" max="13831" width="2" style="210" customWidth="1"/>
    <col min="13832" max="13832" width="20.44140625" style="210" customWidth="1"/>
    <col min="13833" max="13833" width="7.88671875" style="210" customWidth="1"/>
    <col min="13834" max="13834" width="4.44140625" style="210" customWidth="1"/>
    <col min="13835" max="13835" width="13.33203125" style="210" customWidth="1"/>
    <col min="13836" max="13836" width="11.109375" style="210" customWidth="1"/>
    <col min="13837" max="13837" width="15.44140625" style="210" customWidth="1"/>
    <col min="13838" max="14080" width="8.88671875" style="210"/>
    <col min="14081" max="14081" width="7.44140625" style="210" customWidth="1"/>
    <col min="14082" max="14082" width="9.109375" style="210" customWidth="1"/>
    <col min="14083" max="14083" width="4.88671875" style="210" customWidth="1"/>
    <col min="14084" max="14084" width="7.44140625" style="210" customWidth="1"/>
    <col min="14085" max="14085" width="6.5546875" style="210" customWidth="1"/>
    <col min="14086" max="14086" width="10" style="210" customWidth="1"/>
    <col min="14087" max="14087" width="2" style="210" customWidth="1"/>
    <col min="14088" max="14088" width="20.44140625" style="210" customWidth="1"/>
    <col min="14089" max="14089" width="7.88671875" style="210" customWidth="1"/>
    <col min="14090" max="14090" width="4.44140625" style="210" customWidth="1"/>
    <col min="14091" max="14091" width="13.33203125" style="210" customWidth="1"/>
    <col min="14092" max="14092" width="11.109375" style="210" customWidth="1"/>
    <col min="14093" max="14093" width="15.44140625" style="210" customWidth="1"/>
    <col min="14094" max="14336" width="8.88671875" style="210"/>
    <col min="14337" max="14337" width="7.44140625" style="210" customWidth="1"/>
    <col min="14338" max="14338" width="9.109375" style="210" customWidth="1"/>
    <col min="14339" max="14339" width="4.88671875" style="210" customWidth="1"/>
    <col min="14340" max="14340" width="7.44140625" style="210" customWidth="1"/>
    <col min="14341" max="14341" width="6.5546875" style="210" customWidth="1"/>
    <col min="14342" max="14342" width="10" style="210" customWidth="1"/>
    <col min="14343" max="14343" width="2" style="210" customWidth="1"/>
    <col min="14344" max="14344" width="20.44140625" style="210" customWidth="1"/>
    <col min="14345" max="14345" width="7.88671875" style="210" customWidth="1"/>
    <col min="14346" max="14346" width="4.44140625" style="210" customWidth="1"/>
    <col min="14347" max="14347" width="13.33203125" style="210" customWidth="1"/>
    <col min="14348" max="14348" width="11.109375" style="210" customWidth="1"/>
    <col min="14349" max="14349" width="15.44140625" style="210" customWidth="1"/>
    <col min="14350" max="14592" width="8.88671875" style="210"/>
    <col min="14593" max="14593" width="7.44140625" style="210" customWidth="1"/>
    <col min="14594" max="14594" width="9.109375" style="210" customWidth="1"/>
    <col min="14595" max="14595" width="4.88671875" style="210" customWidth="1"/>
    <col min="14596" max="14596" width="7.44140625" style="210" customWidth="1"/>
    <col min="14597" max="14597" width="6.5546875" style="210" customWidth="1"/>
    <col min="14598" max="14598" width="10" style="210" customWidth="1"/>
    <col min="14599" max="14599" width="2" style="210" customWidth="1"/>
    <col min="14600" max="14600" width="20.44140625" style="210" customWidth="1"/>
    <col min="14601" max="14601" width="7.88671875" style="210" customWidth="1"/>
    <col min="14602" max="14602" width="4.44140625" style="210" customWidth="1"/>
    <col min="14603" max="14603" width="13.33203125" style="210" customWidth="1"/>
    <col min="14604" max="14604" width="11.109375" style="210" customWidth="1"/>
    <col min="14605" max="14605" width="15.44140625" style="210" customWidth="1"/>
    <col min="14606" max="14848" width="8.88671875" style="210"/>
    <col min="14849" max="14849" width="7.44140625" style="210" customWidth="1"/>
    <col min="14850" max="14850" width="9.109375" style="210" customWidth="1"/>
    <col min="14851" max="14851" width="4.88671875" style="210" customWidth="1"/>
    <col min="14852" max="14852" width="7.44140625" style="210" customWidth="1"/>
    <col min="14853" max="14853" width="6.5546875" style="210" customWidth="1"/>
    <col min="14854" max="14854" width="10" style="210" customWidth="1"/>
    <col min="14855" max="14855" width="2" style="210" customWidth="1"/>
    <col min="14856" max="14856" width="20.44140625" style="210" customWidth="1"/>
    <col min="14857" max="14857" width="7.88671875" style="210" customWidth="1"/>
    <col min="14858" max="14858" width="4.44140625" style="210" customWidth="1"/>
    <col min="14859" max="14859" width="13.33203125" style="210" customWidth="1"/>
    <col min="14860" max="14860" width="11.109375" style="210" customWidth="1"/>
    <col min="14861" max="14861" width="15.44140625" style="210" customWidth="1"/>
    <col min="14862" max="15104" width="8.88671875" style="210"/>
    <col min="15105" max="15105" width="7.44140625" style="210" customWidth="1"/>
    <col min="15106" max="15106" width="9.109375" style="210" customWidth="1"/>
    <col min="15107" max="15107" width="4.88671875" style="210" customWidth="1"/>
    <col min="15108" max="15108" width="7.44140625" style="210" customWidth="1"/>
    <col min="15109" max="15109" width="6.5546875" style="210" customWidth="1"/>
    <col min="15110" max="15110" width="10" style="210" customWidth="1"/>
    <col min="15111" max="15111" width="2" style="210" customWidth="1"/>
    <col min="15112" max="15112" width="20.44140625" style="210" customWidth="1"/>
    <col min="15113" max="15113" width="7.88671875" style="210" customWidth="1"/>
    <col min="15114" max="15114" width="4.44140625" style="210" customWidth="1"/>
    <col min="15115" max="15115" width="13.33203125" style="210" customWidth="1"/>
    <col min="15116" max="15116" width="11.109375" style="210" customWidth="1"/>
    <col min="15117" max="15117" width="15.44140625" style="210" customWidth="1"/>
    <col min="15118" max="15360" width="8.88671875" style="210"/>
    <col min="15361" max="15361" width="7.44140625" style="210" customWidth="1"/>
    <col min="15362" max="15362" width="9.109375" style="210" customWidth="1"/>
    <col min="15363" max="15363" width="4.88671875" style="210" customWidth="1"/>
    <col min="15364" max="15364" width="7.44140625" style="210" customWidth="1"/>
    <col min="15365" max="15365" width="6.5546875" style="210" customWidth="1"/>
    <col min="15366" max="15366" width="10" style="210" customWidth="1"/>
    <col min="15367" max="15367" width="2" style="210" customWidth="1"/>
    <col min="15368" max="15368" width="20.44140625" style="210" customWidth="1"/>
    <col min="15369" max="15369" width="7.88671875" style="210" customWidth="1"/>
    <col min="15370" max="15370" width="4.44140625" style="210" customWidth="1"/>
    <col min="15371" max="15371" width="13.33203125" style="210" customWidth="1"/>
    <col min="15372" max="15372" width="11.109375" style="210" customWidth="1"/>
    <col min="15373" max="15373" width="15.44140625" style="210" customWidth="1"/>
    <col min="15374" max="15616" width="8.88671875" style="210"/>
    <col min="15617" max="15617" width="7.44140625" style="210" customWidth="1"/>
    <col min="15618" max="15618" width="9.109375" style="210" customWidth="1"/>
    <col min="15619" max="15619" width="4.88671875" style="210" customWidth="1"/>
    <col min="15620" max="15620" width="7.44140625" style="210" customWidth="1"/>
    <col min="15621" max="15621" width="6.5546875" style="210" customWidth="1"/>
    <col min="15622" max="15622" width="10" style="210" customWidth="1"/>
    <col min="15623" max="15623" width="2" style="210" customWidth="1"/>
    <col min="15624" max="15624" width="20.44140625" style="210" customWidth="1"/>
    <col min="15625" max="15625" width="7.88671875" style="210" customWidth="1"/>
    <col min="15626" max="15626" width="4.44140625" style="210" customWidth="1"/>
    <col min="15627" max="15627" width="13.33203125" style="210" customWidth="1"/>
    <col min="15628" max="15628" width="11.109375" style="210" customWidth="1"/>
    <col min="15629" max="15629" width="15.44140625" style="210" customWidth="1"/>
    <col min="15630" max="15872" width="8.88671875" style="210"/>
    <col min="15873" max="15873" width="7.44140625" style="210" customWidth="1"/>
    <col min="15874" max="15874" width="9.109375" style="210" customWidth="1"/>
    <col min="15875" max="15875" width="4.88671875" style="210" customWidth="1"/>
    <col min="15876" max="15876" width="7.44140625" style="210" customWidth="1"/>
    <col min="15877" max="15877" width="6.5546875" style="210" customWidth="1"/>
    <col min="15878" max="15878" width="10" style="210" customWidth="1"/>
    <col min="15879" max="15879" width="2" style="210" customWidth="1"/>
    <col min="15880" max="15880" width="20.44140625" style="210" customWidth="1"/>
    <col min="15881" max="15881" width="7.88671875" style="210" customWidth="1"/>
    <col min="15882" max="15882" width="4.44140625" style="210" customWidth="1"/>
    <col min="15883" max="15883" width="13.33203125" style="210" customWidth="1"/>
    <col min="15884" max="15884" width="11.109375" style="210" customWidth="1"/>
    <col min="15885" max="15885" width="15.44140625" style="210" customWidth="1"/>
    <col min="15886" max="16128" width="8.88671875" style="210"/>
    <col min="16129" max="16129" width="7.44140625" style="210" customWidth="1"/>
    <col min="16130" max="16130" width="9.109375" style="210" customWidth="1"/>
    <col min="16131" max="16131" width="4.88671875" style="210" customWidth="1"/>
    <col min="16132" max="16132" width="7.44140625" style="210" customWidth="1"/>
    <col min="16133" max="16133" width="6.5546875" style="210" customWidth="1"/>
    <col min="16134" max="16134" width="10" style="210" customWidth="1"/>
    <col min="16135" max="16135" width="2" style="210" customWidth="1"/>
    <col min="16136" max="16136" width="20.44140625" style="210" customWidth="1"/>
    <col min="16137" max="16137" width="7.88671875" style="210" customWidth="1"/>
    <col min="16138" max="16138" width="4.44140625" style="210" customWidth="1"/>
    <col min="16139" max="16139" width="13.33203125" style="210" customWidth="1"/>
    <col min="16140" max="16140" width="11.109375" style="210" customWidth="1"/>
    <col min="16141" max="16141" width="15.44140625" style="210" customWidth="1"/>
    <col min="16142" max="16384" width="8.88671875" style="210"/>
  </cols>
  <sheetData>
    <row r="1" spans="1:13" ht="27" customHeight="1">
      <c r="A1" s="209"/>
      <c r="B1" s="209"/>
      <c r="C1" s="209"/>
      <c r="D1" s="209"/>
      <c r="E1" s="209"/>
      <c r="F1" s="209"/>
      <c r="G1" s="209"/>
      <c r="H1" s="209"/>
      <c r="I1" s="209"/>
      <c r="J1" s="209"/>
      <c r="K1" s="209"/>
      <c r="L1" s="665" t="s">
        <v>200</v>
      </c>
      <c r="M1" s="665"/>
    </row>
    <row r="2" spans="1:13" ht="15" customHeight="1" thickBot="1">
      <c r="A2" s="209"/>
      <c r="B2" s="209"/>
      <c r="C2" s="209"/>
      <c r="D2" s="209"/>
      <c r="E2" s="209"/>
      <c r="F2" s="209"/>
      <c r="G2" s="209"/>
      <c r="H2" s="209"/>
      <c r="I2" s="209"/>
      <c r="J2" s="209"/>
      <c r="K2" s="209"/>
      <c r="L2" s="359"/>
      <c r="M2" s="359"/>
    </row>
    <row r="3" spans="1:13" ht="24.75" customHeight="1">
      <c r="A3" s="666"/>
      <c r="B3" s="667"/>
      <c r="C3" s="667"/>
      <c r="D3" s="667"/>
      <c r="E3" s="667"/>
      <c r="F3" s="667"/>
      <c r="G3" s="667"/>
      <c r="H3" s="667"/>
      <c r="I3" s="667"/>
      <c r="J3" s="668"/>
      <c r="K3" s="669"/>
      <c r="L3" s="670"/>
      <c r="M3" s="671"/>
    </row>
    <row r="4" spans="1:13" ht="24.75" customHeight="1">
      <c r="A4" s="672" t="s">
        <v>232</v>
      </c>
      <c r="B4" s="673"/>
      <c r="C4" s="673"/>
      <c r="D4" s="673"/>
      <c r="E4" s="673"/>
      <c r="F4" s="673"/>
      <c r="G4" s="673"/>
      <c r="H4" s="673"/>
      <c r="I4" s="673"/>
      <c r="J4" s="674"/>
      <c r="K4" s="662" t="s">
        <v>147</v>
      </c>
      <c r="L4" s="663"/>
      <c r="M4" s="664"/>
    </row>
    <row r="5" spans="1:13" ht="17.25" customHeight="1">
      <c r="A5" s="659" t="s">
        <v>1</v>
      </c>
      <c r="B5" s="660"/>
      <c r="C5" s="660"/>
      <c r="D5" s="660"/>
      <c r="E5" s="660"/>
      <c r="F5" s="660"/>
      <c r="G5" s="660"/>
      <c r="H5" s="660"/>
      <c r="I5" s="660"/>
      <c r="J5" s="661"/>
      <c r="K5" s="662" t="s">
        <v>148</v>
      </c>
      <c r="L5" s="663"/>
      <c r="M5" s="664"/>
    </row>
    <row r="6" spans="1:13" ht="17.25" customHeight="1">
      <c r="A6" s="659" t="s">
        <v>3</v>
      </c>
      <c r="B6" s="660"/>
      <c r="C6" s="660"/>
      <c r="D6" s="660"/>
      <c r="E6" s="660"/>
      <c r="F6" s="660"/>
      <c r="G6" s="660"/>
      <c r="H6" s="660"/>
      <c r="I6" s="660"/>
      <c r="J6" s="661"/>
      <c r="K6" s="662" t="s">
        <v>149</v>
      </c>
      <c r="L6" s="663"/>
      <c r="M6" s="664"/>
    </row>
    <row r="7" spans="1:13" ht="20.25" customHeight="1" thickBot="1">
      <c r="A7" s="675"/>
      <c r="B7" s="676"/>
      <c r="C7" s="676"/>
      <c r="D7" s="676"/>
      <c r="E7" s="676"/>
      <c r="F7" s="676"/>
      <c r="G7" s="676"/>
      <c r="H7" s="676"/>
      <c r="I7" s="676"/>
      <c r="J7" s="677"/>
      <c r="K7" s="678"/>
      <c r="L7" s="679"/>
      <c r="M7" s="680"/>
    </row>
    <row r="8" spans="1:13" ht="12.75" customHeight="1">
      <c r="A8" s="681" t="s">
        <v>14</v>
      </c>
      <c r="B8" s="682"/>
      <c r="C8" s="683"/>
      <c r="D8" s="687" t="str">
        <f>'DV (2)'!E11</f>
        <v>ROGER E. AMOLATO</v>
      </c>
      <c r="E8" s="688"/>
      <c r="F8" s="688"/>
      <c r="G8" s="688"/>
      <c r="H8" s="688"/>
      <c r="I8" s="688"/>
      <c r="J8" s="688"/>
      <c r="K8" s="688"/>
      <c r="L8" s="688"/>
      <c r="M8" s="689"/>
    </row>
    <row r="9" spans="1:13" ht="12.75" customHeight="1">
      <c r="A9" s="684"/>
      <c r="B9" s="685"/>
      <c r="C9" s="686"/>
      <c r="D9" s="690"/>
      <c r="E9" s="691"/>
      <c r="F9" s="691"/>
      <c r="G9" s="691"/>
      <c r="H9" s="691"/>
      <c r="I9" s="691"/>
      <c r="J9" s="691"/>
      <c r="K9" s="691"/>
      <c r="L9" s="691"/>
      <c r="M9" s="692"/>
    </row>
    <row r="10" spans="1:13" ht="12.75" customHeight="1">
      <c r="A10" s="693" t="s">
        <v>64</v>
      </c>
      <c r="B10" s="694"/>
      <c r="C10" s="695"/>
      <c r="D10" s="696" t="s">
        <v>251</v>
      </c>
      <c r="E10" s="697"/>
      <c r="F10" s="697"/>
      <c r="G10" s="697"/>
      <c r="H10" s="697"/>
      <c r="I10" s="697"/>
      <c r="J10" s="697"/>
      <c r="K10" s="697"/>
      <c r="L10" s="697"/>
      <c r="M10" s="698"/>
    </row>
    <row r="11" spans="1:13" ht="12.75" customHeight="1">
      <c r="A11" s="684"/>
      <c r="B11" s="685"/>
      <c r="C11" s="686"/>
      <c r="D11" s="699"/>
      <c r="E11" s="700"/>
      <c r="F11" s="700"/>
      <c r="G11" s="700"/>
      <c r="H11" s="700"/>
      <c r="I11" s="700"/>
      <c r="J11" s="700"/>
      <c r="K11" s="700"/>
      <c r="L11" s="700"/>
      <c r="M11" s="701"/>
    </row>
    <row r="12" spans="1:13" ht="12.75" customHeight="1">
      <c r="A12" s="693" t="s">
        <v>17</v>
      </c>
      <c r="B12" s="694"/>
      <c r="C12" s="695"/>
      <c r="D12" s="705" t="s">
        <v>18</v>
      </c>
      <c r="E12" s="706"/>
      <c r="F12" s="706"/>
      <c r="G12" s="706"/>
      <c r="H12" s="706"/>
      <c r="I12" s="706"/>
      <c r="J12" s="706"/>
      <c r="K12" s="706"/>
      <c r="L12" s="706"/>
      <c r="M12" s="707"/>
    </row>
    <row r="13" spans="1:13" ht="13.5" customHeight="1" thickBot="1">
      <c r="A13" s="702"/>
      <c r="B13" s="703"/>
      <c r="C13" s="704"/>
      <c r="D13" s="708"/>
      <c r="E13" s="679"/>
      <c r="F13" s="679"/>
      <c r="G13" s="679"/>
      <c r="H13" s="679"/>
      <c r="I13" s="679"/>
      <c r="J13" s="679"/>
      <c r="K13" s="679"/>
      <c r="L13" s="679"/>
      <c r="M13" s="680"/>
    </row>
    <row r="14" spans="1:13" ht="12.75" customHeight="1">
      <c r="A14" s="681" t="s">
        <v>20</v>
      </c>
      <c r="B14" s="682"/>
      <c r="C14" s="683"/>
      <c r="D14" s="709" t="s">
        <v>19</v>
      </c>
      <c r="E14" s="710"/>
      <c r="F14" s="710"/>
      <c r="G14" s="710"/>
      <c r="H14" s="711"/>
      <c r="I14" s="715" t="s">
        <v>21</v>
      </c>
      <c r="J14" s="716"/>
      <c r="K14" s="719" t="s">
        <v>66</v>
      </c>
      <c r="L14" s="709" t="s">
        <v>22</v>
      </c>
      <c r="M14" s="721"/>
    </row>
    <row r="15" spans="1:13" ht="37.200000000000003" customHeight="1" thickBot="1">
      <c r="A15" s="684"/>
      <c r="B15" s="685"/>
      <c r="C15" s="686"/>
      <c r="D15" s="712"/>
      <c r="E15" s="713"/>
      <c r="F15" s="713"/>
      <c r="G15" s="713"/>
      <c r="H15" s="714"/>
      <c r="I15" s="717"/>
      <c r="J15" s="718"/>
      <c r="K15" s="720"/>
      <c r="L15" s="722"/>
      <c r="M15" s="723"/>
    </row>
    <row r="16" spans="1:13" ht="12.75" customHeight="1">
      <c r="A16" s="212"/>
      <c r="B16" s="213"/>
      <c r="C16" s="214"/>
      <c r="D16" s="265">
        <v>2025</v>
      </c>
      <c r="E16" s="263"/>
      <c r="F16" s="263"/>
      <c r="G16" s="263"/>
      <c r="H16" s="263"/>
      <c r="I16" s="215"/>
      <c r="J16" s="214"/>
      <c r="K16" s="216"/>
      <c r="L16" s="732"/>
      <c r="M16" s="733"/>
    </row>
    <row r="17" spans="1:18" ht="12.75" customHeight="1">
      <c r="A17" s="734"/>
      <c r="B17" s="730"/>
      <c r="C17" s="735"/>
      <c r="D17" s="736" t="s">
        <v>264</v>
      </c>
      <c r="E17" s="737"/>
      <c r="F17" s="737"/>
      <c r="G17" s="737"/>
      <c r="H17" s="738"/>
      <c r="I17" s="739"/>
      <c r="J17" s="740"/>
      <c r="K17" s="286"/>
      <c r="L17" s="741"/>
      <c r="M17" s="742"/>
    </row>
    <row r="18" spans="1:18" ht="12.75" customHeight="1">
      <c r="A18" s="363"/>
      <c r="B18" s="360"/>
      <c r="C18" s="364"/>
      <c r="D18" s="736"/>
      <c r="E18" s="737"/>
      <c r="F18" s="737"/>
      <c r="G18" s="737"/>
      <c r="H18" s="738"/>
      <c r="I18" s="739"/>
      <c r="J18" s="740"/>
      <c r="K18" s="289"/>
      <c r="L18" s="365"/>
      <c r="M18" s="366"/>
    </row>
    <row r="19" spans="1:18" ht="12.75" customHeight="1">
      <c r="A19" s="363"/>
      <c r="B19" s="360"/>
      <c r="C19" s="364"/>
      <c r="D19" s="736"/>
      <c r="E19" s="737"/>
      <c r="F19" s="737"/>
      <c r="G19" s="737"/>
      <c r="H19" s="738"/>
      <c r="I19" s="739"/>
      <c r="J19" s="740"/>
      <c r="K19" s="286"/>
      <c r="L19" s="365"/>
      <c r="M19" s="366"/>
    </row>
    <row r="20" spans="1:18" ht="12.75" customHeight="1">
      <c r="A20" s="224"/>
      <c r="B20" s="209"/>
      <c r="C20" s="225"/>
      <c r="D20" s="736"/>
      <c r="E20" s="737"/>
      <c r="F20" s="737"/>
      <c r="G20" s="737"/>
      <c r="H20" s="738"/>
      <c r="I20" s="287"/>
      <c r="J20" s="288"/>
      <c r="K20" s="286"/>
      <c r="L20" s="743">
        <f>'DV (2)'!AE26</f>
        <v>540</v>
      </c>
      <c r="M20" s="744"/>
    </row>
    <row r="21" spans="1:18" ht="12.75" customHeight="1">
      <c r="A21" s="224"/>
      <c r="B21" s="209"/>
      <c r="C21" s="225"/>
      <c r="D21" s="736"/>
      <c r="E21" s="737"/>
      <c r="F21" s="737"/>
      <c r="G21" s="737"/>
      <c r="H21" s="738"/>
      <c r="I21" s="217"/>
      <c r="J21" s="225"/>
      <c r="K21" s="218"/>
      <c r="L21" s="745"/>
      <c r="M21" s="746"/>
    </row>
    <row r="22" spans="1:18" ht="13.8">
      <c r="A22" s="224"/>
      <c r="B22" s="209" t="s">
        <v>68</v>
      </c>
      <c r="C22" s="225"/>
      <c r="D22" s="736"/>
      <c r="E22" s="737"/>
      <c r="F22" s="737"/>
      <c r="G22" s="737"/>
      <c r="H22" s="738"/>
      <c r="I22" s="217"/>
      <c r="J22" s="225"/>
      <c r="K22" s="227"/>
      <c r="L22" s="745"/>
      <c r="M22" s="746"/>
    </row>
    <row r="23" spans="1:18" ht="13.8">
      <c r="A23" s="224"/>
      <c r="B23" s="209"/>
      <c r="C23" s="225"/>
      <c r="D23" s="736"/>
      <c r="E23" s="737"/>
      <c r="F23" s="737"/>
      <c r="G23" s="737"/>
      <c r="H23" s="738"/>
      <c r="I23" s="217"/>
      <c r="J23" s="225"/>
      <c r="K23" s="227"/>
      <c r="L23" s="745"/>
      <c r="M23" s="746"/>
    </row>
    <row r="24" spans="1:18" ht="43.5" customHeight="1">
      <c r="A24" s="224"/>
      <c r="B24" s="209"/>
      <c r="C24" s="225"/>
      <c r="D24" s="736"/>
      <c r="E24" s="737"/>
      <c r="F24" s="737"/>
      <c r="G24" s="737"/>
      <c r="H24" s="738"/>
      <c r="I24" s="217"/>
      <c r="J24" s="225"/>
      <c r="K24" s="227"/>
      <c r="L24" s="745"/>
      <c r="M24" s="746"/>
    </row>
    <row r="25" spans="1:18" ht="16.5" customHeight="1" thickBot="1">
      <c r="A25" s="228"/>
      <c r="B25" s="229"/>
      <c r="C25" s="230"/>
      <c r="D25" s="749" t="s">
        <v>70</v>
      </c>
      <c r="E25" s="750"/>
      <c r="F25" s="750"/>
      <c r="G25" s="750"/>
      <c r="H25" s="751"/>
      <c r="I25" s="231"/>
      <c r="J25" s="230"/>
      <c r="K25" s="230"/>
      <c r="L25" s="752">
        <f>L20</f>
        <v>540</v>
      </c>
      <c r="M25" s="753"/>
    </row>
    <row r="26" spans="1:18" ht="9" customHeight="1">
      <c r="A26" s="724" t="s">
        <v>26</v>
      </c>
      <c r="B26" s="232"/>
      <c r="C26" s="233"/>
      <c r="D26" s="362"/>
      <c r="E26" s="235"/>
      <c r="F26" s="235"/>
      <c r="G26" s="235"/>
      <c r="H26" s="236"/>
      <c r="I26" s="726" t="s">
        <v>30</v>
      </c>
      <c r="J26" s="237"/>
      <c r="K26" s="233"/>
      <c r="L26" s="209"/>
      <c r="M26" s="238"/>
    </row>
    <row r="27" spans="1:18" ht="14.25" customHeight="1">
      <c r="A27" s="725"/>
      <c r="B27" s="728" t="s">
        <v>37</v>
      </c>
      <c r="C27" s="729"/>
      <c r="D27" s="730" t="s">
        <v>150</v>
      </c>
      <c r="E27" s="730"/>
      <c r="F27" s="730"/>
      <c r="G27" s="730"/>
      <c r="H27" s="731"/>
      <c r="I27" s="727"/>
      <c r="J27" s="239" t="s">
        <v>151</v>
      </c>
      <c r="K27" s="209"/>
      <c r="L27" s="209"/>
      <c r="M27" s="238"/>
    </row>
    <row r="28" spans="1:18" ht="13.8">
      <c r="A28" s="240"/>
      <c r="B28" s="209" t="s">
        <v>152</v>
      </c>
      <c r="C28" s="209"/>
      <c r="D28" s="209"/>
      <c r="E28" s="209"/>
      <c r="F28" s="209"/>
      <c r="G28" s="209"/>
      <c r="H28" s="238"/>
      <c r="I28" s="224"/>
      <c r="J28" s="209" t="s">
        <v>153</v>
      </c>
      <c r="K28" s="209"/>
      <c r="L28" s="209"/>
      <c r="M28" s="238"/>
    </row>
    <row r="29" spans="1:18" ht="13.8">
      <c r="A29" s="754"/>
      <c r="B29" s="209" t="s">
        <v>154</v>
      </c>
      <c r="C29" s="209"/>
      <c r="D29" s="209"/>
      <c r="E29" s="209"/>
      <c r="F29" s="209"/>
      <c r="G29" s="209"/>
      <c r="H29" s="238"/>
      <c r="I29" s="209"/>
      <c r="J29" s="209" t="s">
        <v>77</v>
      </c>
      <c r="K29" s="209"/>
      <c r="L29" s="209"/>
      <c r="M29" s="238"/>
    </row>
    <row r="30" spans="1:18" ht="12.75" customHeight="1">
      <c r="A30" s="754"/>
      <c r="B30" s="209"/>
      <c r="C30" s="209"/>
      <c r="D30" s="209"/>
      <c r="E30" s="209"/>
      <c r="F30" s="209"/>
      <c r="G30" s="209"/>
      <c r="H30" s="238"/>
      <c r="I30" s="209"/>
      <c r="J30" s="209"/>
      <c r="K30" s="209"/>
      <c r="L30" s="209"/>
      <c r="M30" s="238"/>
    </row>
    <row r="31" spans="1:18" ht="12.75" customHeight="1">
      <c r="A31" s="361"/>
      <c r="B31" s="242"/>
      <c r="C31" s="242"/>
      <c r="D31" s="242"/>
      <c r="E31" s="242"/>
      <c r="F31" s="242"/>
      <c r="G31" s="209"/>
      <c r="H31" s="238"/>
      <c r="I31" s="209"/>
      <c r="J31" s="209"/>
      <c r="K31" s="209"/>
      <c r="L31" s="209"/>
      <c r="M31" s="238"/>
    </row>
    <row r="32" spans="1:18" ht="12.75" customHeight="1">
      <c r="A32" s="361"/>
      <c r="B32" s="209"/>
      <c r="C32" s="209"/>
      <c r="D32" s="209"/>
      <c r="E32" s="209"/>
      <c r="F32" s="209"/>
      <c r="G32" s="209"/>
      <c r="H32" s="238"/>
      <c r="I32" s="209"/>
      <c r="J32" s="209"/>
      <c r="K32" s="209"/>
      <c r="L32" s="209"/>
      <c r="M32" s="238"/>
      <c r="R32" s="226"/>
    </row>
    <row r="33" spans="1:13" ht="12.75" customHeight="1">
      <c r="A33" s="755" t="s">
        <v>78</v>
      </c>
      <c r="B33" s="756"/>
      <c r="C33" s="757" t="s">
        <v>155</v>
      </c>
      <c r="D33" s="757"/>
      <c r="E33" s="757"/>
      <c r="F33" s="757"/>
      <c r="G33" s="757"/>
      <c r="H33" s="758"/>
      <c r="I33" s="209" t="s">
        <v>79</v>
      </c>
      <c r="J33" s="209"/>
      <c r="K33" s="243" t="s">
        <v>156</v>
      </c>
      <c r="L33" s="209"/>
      <c r="M33" s="238"/>
    </row>
    <row r="34" spans="1:13" ht="13.8">
      <c r="A34" s="244"/>
      <c r="B34" s="226"/>
      <c r="C34" s="226"/>
      <c r="D34" s="226"/>
      <c r="F34" s="226"/>
      <c r="G34" s="226"/>
      <c r="H34" s="245"/>
      <c r="I34" s="209"/>
      <c r="J34" s="209"/>
      <c r="K34" s="209"/>
      <c r="L34" s="209"/>
      <c r="M34" s="238"/>
    </row>
    <row r="35" spans="1:13" ht="18" customHeight="1">
      <c r="A35" s="755" t="s">
        <v>82</v>
      </c>
      <c r="B35" s="756"/>
      <c r="C35" s="759" t="str">
        <f>'DV (2)'!A29</f>
        <v>MARK JUBEN M. PILAPIL</v>
      </c>
      <c r="D35" s="759"/>
      <c r="E35" s="759"/>
      <c r="F35" s="759"/>
      <c r="G35" s="759"/>
      <c r="H35" s="760"/>
      <c r="I35" s="285" t="s">
        <v>82</v>
      </c>
      <c r="J35" s="209"/>
      <c r="K35" s="747" t="s">
        <v>83</v>
      </c>
      <c r="L35" s="747"/>
      <c r="M35" s="748"/>
    </row>
    <row r="36" spans="1:13" ht="12.75" customHeight="1">
      <c r="A36" s="755" t="s">
        <v>84</v>
      </c>
      <c r="B36" s="756"/>
      <c r="C36" s="767" t="s">
        <v>265</v>
      </c>
      <c r="D36" s="767"/>
      <c r="E36" s="767"/>
      <c r="F36" s="767"/>
      <c r="G36" s="767"/>
      <c r="H36" s="768"/>
      <c r="I36" s="209" t="s">
        <v>84</v>
      </c>
      <c r="J36" s="209"/>
      <c r="K36" s="761" t="s">
        <v>189</v>
      </c>
      <c r="L36" s="761"/>
      <c r="M36" s="746"/>
    </row>
    <row r="37" spans="1:13" ht="28.5" customHeight="1">
      <c r="A37" s="244"/>
      <c r="B37" s="226"/>
      <c r="C37" s="756" t="s">
        <v>157</v>
      </c>
      <c r="D37" s="756"/>
      <c r="E37" s="756"/>
      <c r="F37" s="756"/>
      <c r="G37" s="756"/>
      <c r="H37" s="762"/>
      <c r="I37" s="209"/>
      <c r="J37" s="209"/>
      <c r="K37" s="660" t="s">
        <v>85</v>
      </c>
      <c r="L37" s="660"/>
      <c r="M37" s="661"/>
    </row>
    <row r="38" spans="1:13" ht="12.75" customHeight="1">
      <c r="A38" s="755" t="s">
        <v>88</v>
      </c>
      <c r="B38" s="756"/>
      <c r="C38" s="663" t="s">
        <v>158</v>
      </c>
      <c r="D38" s="663"/>
      <c r="E38" s="663"/>
      <c r="F38" s="663"/>
      <c r="G38" s="663"/>
      <c r="H38" s="664"/>
      <c r="I38" s="209" t="s">
        <v>88</v>
      </c>
      <c r="J38" s="209"/>
      <c r="K38" s="209" t="s">
        <v>89</v>
      </c>
      <c r="L38" s="209"/>
      <c r="M38" s="238"/>
    </row>
    <row r="39" spans="1:13" ht="9.75" customHeight="1" thickBot="1">
      <c r="A39" s="246"/>
      <c r="B39" s="247"/>
      <c r="C39" s="247"/>
      <c r="D39" s="247"/>
      <c r="E39" s="247"/>
      <c r="F39" s="247"/>
      <c r="G39" s="247"/>
      <c r="H39" s="248"/>
      <c r="I39" s="229"/>
      <c r="J39" s="229"/>
      <c r="K39" s="229"/>
      <c r="L39" s="229"/>
      <c r="M39" s="249"/>
    </row>
    <row r="40" spans="1:13" ht="3.75" customHeight="1" thickBot="1">
      <c r="A40" s="250"/>
      <c r="B40" s="251"/>
      <c r="C40" s="233"/>
      <c r="D40" s="233"/>
      <c r="E40" s="233"/>
      <c r="F40" s="233"/>
      <c r="G40" s="233"/>
      <c r="H40" s="233"/>
      <c r="I40" s="233"/>
      <c r="J40" s="233"/>
      <c r="K40" s="233"/>
      <c r="L40" s="233"/>
      <c r="M40" s="252"/>
    </row>
    <row r="41" spans="1:13" ht="14.4" thickBot="1">
      <c r="A41" s="253" t="s">
        <v>36</v>
      </c>
      <c r="B41" s="763" t="s">
        <v>159</v>
      </c>
      <c r="C41" s="764"/>
      <c r="D41" s="764"/>
      <c r="E41" s="764"/>
      <c r="F41" s="764"/>
      <c r="G41" s="764"/>
      <c r="H41" s="764"/>
      <c r="I41" s="764"/>
      <c r="J41" s="764"/>
      <c r="K41" s="764"/>
      <c r="L41" s="764"/>
      <c r="M41" s="765"/>
    </row>
    <row r="42" spans="1:13" ht="13.5" customHeight="1" thickBot="1">
      <c r="A42" s="766" t="s">
        <v>91</v>
      </c>
      <c r="B42" s="764"/>
      <c r="C42" s="764"/>
      <c r="D42" s="764"/>
      <c r="E42" s="764"/>
      <c r="F42" s="764"/>
      <c r="G42" s="765"/>
      <c r="H42" s="766" t="s">
        <v>22</v>
      </c>
      <c r="I42" s="764"/>
      <c r="J42" s="764"/>
      <c r="K42" s="764"/>
      <c r="L42" s="764"/>
      <c r="M42" s="765"/>
    </row>
    <row r="43" spans="1:13" ht="13.5" customHeight="1">
      <c r="A43" s="791" t="s">
        <v>50</v>
      </c>
      <c r="B43" s="793" t="s">
        <v>19</v>
      </c>
      <c r="C43" s="794"/>
      <c r="D43" s="794"/>
      <c r="E43" s="797" t="s">
        <v>92</v>
      </c>
      <c r="F43" s="798"/>
      <c r="G43" s="799"/>
      <c r="H43" s="806" t="s">
        <v>93</v>
      </c>
      <c r="I43" s="807" t="s">
        <v>94</v>
      </c>
      <c r="J43" s="806"/>
      <c r="K43" s="769" t="s">
        <v>95</v>
      </c>
      <c r="L43" s="770" t="s">
        <v>96</v>
      </c>
      <c r="M43" s="771"/>
    </row>
    <row r="44" spans="1:13" ht="26.25" customHeight="1">
      <c r="A44" s="791"/>
      <c r="B44" s="793"/>
      <c r="C44" s="794"/>
      <c r="D44" s="794"/>
      <c r="E44" s="800"/>
      <c r="F44" s="801"/>
      <c r="G44" s="802"/>
      <c r="H44" s="806"/>
      <c r="I44" s="807"/>
      <c r="J44" s="806"/>
      <c r="K44" s="769"/>
      <c r="L44" s="291" t="s">
        <v>97</v>
      </c>
      <c r="M44" s="254" t="s">
        <v>98</v>
      </c>
    </row>
    <row r="45" spans="1:13" ht="15.6" customHeight="1">
      <c r="A45" s="792"/>
      <c r="B45" s="795"/>
      <c r="C45" s="796"/>
      <c r="D45" s="796"/>
      <c r="E45" s="803"/>
      <c r="F45" s="804"/>
      <c r="G45" s="805"/>
      <c r="H45" s="358" t="s">
        <v>99</v>
      </c>
      <c r="I45" s="772" t="s">
        <v>100</v>
      </c>
      <c r="J45" s="773"/>
      <c r="K45" s="255" t="s">
        <v>101</v>
      </c>
      <c r="L45" s="255" t="s">
        <v>102</v>
      </c>
      <c r="M45" s="256" t="s">
        <v>103</v>
      </c>
    </row>
    <row r="46" spans="1:13" ht="13.5" customHeight="1">
      <c r="A46" s="774" t="s">
        <v>257</v>
      </c>
      <c r="B46" s="777" t="str">
        <f>D17</f>
        <v>Reimbursement of the travelling expenses to attend the Solidarity Meeting and Submission of Lacking Documents for the University Paugnat and Pasundayag Festival 2025 on October 30, 2025, at the BISU Main Campus Activity Center, Tagbilaran City, Bohol.</v>
      </c>
      <c r="C46" s="778"/>
      <c r="D46" s="779"/>
      <c r="E46" s="266"/>
      <c r="F46" s="267"/>
      <c r="G46" s="268"/>
      <c r="H46" s="269"/>
      <c r="I46" s="262"/>
      <c r="J46" s="270"/>
      <c r="K46" s="271"/>
      <c r="L46" s="272"/>
      <c r="M46" s="273"/>
    </row>
    <row r="47" spans="1:13" ht="13.5" customHeight="1">
      <c r="A47" s="775"/>
      <c r="B47" s="780"/>
      <c r="C47" s="781"/>
      <c r="D47" s="782"/>
      <c r="E47" s="266"/>
      <c r="F47" s="267"/>
      <c r="G47" s="268"/>
      <c r="H47" s="271"/>
      <c r="I47" s="274"/>
      <c r="J47" s="275"/>
      <c r="K47" s="269"/>
      <c r="L47" s="269"/>
      <c r="M47" s="276"/>
    </row>
    <row r="48" spans="1:13" ht="16.2" customHeight="1">
      <c r="A48" s="775"/>
      <c r="B48" s="780"/>
      <c r="C48" s="781"/>
      <c r="D48" s="782"/>
      <c r="E48" s="786"/>
      <c r="F48" s="787"/>
      <c r="G48" s="788"/>
      <c r="H48" s="284">
        <f>L25</f>
        <v>540</v>
      </c>
      <c r="I48" s="789"/>
      <c r="J48" s="790"/>
      <c r="K48" s="277">
        <f>H48</f>
        <v>540</v>
      </c>
      <c r="L48" s="269"/>
      <c r="M48" s="278">
        <f>K48</f>
        <v>540</v>
      </c>
    </row>
    <row r="49" spans="1:13" ht="16.2" customHeight="1">
      <c r="A49" s="775"/>
      <c r="B49" s="780"/>
      <c r="C49" s="781"/>
      <c r="D49" s="782"/>
      <c r="E49" s="353"/>
      <c r="F49" s="354"/>
      <c r="G49" s="355"/>
      <c r="H49" s="284"/>
      <c r="I49" s="356"/>
      <c r="J49" s="357"/>
      <c r="K49" s="277"/>
      <c r="L49" s="269"/>
      <c r="M49" s="319"/>
    </row>
    <row r="50" spans="1:13" ht="25.2" customHeight="1">
      <c r="A50" s="775"/>
      <c r="B50" s="780"/>
      <c r="C50" s="781"/>
      <c r="D50" s="782"/>
      <c r="E50" s="266"/>
      <c r="F50" s="267"/>
      <c r="G50" s="268"/>
      <c r="H50" s="271"/>
      <c r="I50" s="274"/>
      <c r="J50" s="275"/>
      <c r="K50" s="269"/>
      <c r="L50" s="277"/>
      <c r="M50" s="276"/>
    </row>
    <row r="51" spans="1:13" ht="13.5" customHeight="1">
      <c r="A51" s="775"/>
      <c r="B51" s="780"/>
      <c r="C51" s="781"/>
      <c r="D51" s="782"/>
      <c r="E51" s="262"/>
      <c r="F51" s="267"/>
      <c r="G51" s="268"/>
      <c r="H51" s="271"/>
      <c r="I51" s="262"/>
      <c r="J51" s="268"/>
      <c r="K51" s="271"/>
      <c r="L51" s="271"/>
      <c r="M51" s="279"/>
    </row>
    <row r="52" spans="1:13" ht="13.5" customHeight="1">
      <c r="A52" s="775"/>
      <c r="B52" s="780"/>
      <c r="C52" s="781"/>
      <c r="D52" s="782"/>
      <c r="E52" s="262"/>
      <c r="F52" s="267"/>
      <c r="G52" s="268"/>
      <c r="H52" s="271"/>
      <c r="I52" s="262"/>
      <c r="J52" s="268"/>
      <c r="K52" s="271"/>
      <c r="L52" s="271"/>
      <c r="M52" s="279"/>
    </row>
    <row r="53" spans="1:13" ht="8.4" customHeight="1">
      <c r="A53" s="775"/>
      <c r="B53" s="780"/>
      <c r="C53" s="781"/>
      <c r="D53" s="782"/>
      <c r="E53" s="217"/>
      <c r="F53" s="209"/>
      <c r="G53" s="225"/>
      <c r="H53" s="218"/>
      <c r="I53" s="217"/>
      <c r="J53" s="225"/>
      <c r="K53" s="218"/>
      <c r="L53" s="218"/>
      <c r="M53" s="238"/>
    </row>
    <row r="54" spans="1:13" ht="8.4" customHeight="1">
      <c r="A54" s="775"/>
      <c r="B54" s="780"/>
      <c r="C54" s="781"/>
      <c r="D54" s="782"/>
      <c r="E54" s="217"/>
      <c r="F54" s="209"/>
      <c r="G54" s="225"/>
      <c r="H54" s="218"/>
      <c r="I54" s="217"/>
      <c r="J54" s="225"/>
      <c r="K54" s="218"/>
      <c r="L54" s="218"/>
      <c r="M54" s="238"/>
    </row>
    <row r="55" spans="1:13" ht="58.2" customHeight="1" thickBot="1">
      <c r="A55" s="776"/>
      <c r="B55" s="783"/>
      <c r="C55" s="784"/>
      <c r="D55" s="785"/>
      <c r="E55" s="257"/>
      <c r="F55" s="258"/>
      <c r="G55" s="259"/>
      <c r="H55" s="260"/>
      <c r="I55" s="257"/>
      <c r="J55" s="259"/>
      <c r="K55" s="260"/>
      <c r="L55" s="260"/>
      <c r="M55" s="261"/>
    </row>
    <row r="56" spans="1:13" ht="13.8">
      <c r="A56" s="209"/>
      <c r="B56" s="209"/>
      <c r="C56" s="209"/>
      <c r="D56" s="209"/>
      <c r="E56" s="209"/>
      <c r="F56" s="209"/>
      <c r="G56" s="209"/>
      <c r="H56" s="209"/>
      <c r="I56" s="209"/>
      <c r="J56" s="209"/>
      <c r="K56" s="209"/>
      <c r="L56" s="209"/>
      <c r="M56" s="209"/>
    </row>
  </sheetData>
  <mergeCells count="68">
    <mergeCell ref="K43:K44"/>
    <mergeCell ref="L43:M43"/>
    <mergeCell ref="I45:J45"/>
    <mergeCell ref="A46:A55"/>
    <mergeCell ref="B46:D55"/>
    <mergeCell ref="E48:G48"/>
    <mergeCell ref="I48:J48"/>
    <mergeCell ref="A43:A45"/>
    <mergeCell ref="B43:D45"/>
    <mergeCell ref="E43:G45"/>
    <mergeCell ref="H43:H44"/>
    <mergeCell ref="I43:J44"/>
    <mergeCell ref="K36:M36"/>
    <mergeCell ref="C37:H37"/>
    <mergeCell ref="K37:M37"/>
    <mergeCell ref="B41:M41"/>
    <mergeCell ref="A42:G42"/>
    <mergeCell ref="H42:M42"/>
    <mergeCell ref="A38:B38"/>
    <mergeCell ref="C38:H38"/>
    <mergeCell ref="A36:B36"/>
    <mergeCell ref="C36:H36"/>
    <mergeCell ref="A29:A30"/>
    <mergeCell ref="A33:B33"/>
    <mergeCell ref="C33:H33"/>
    <mergeCell ref="A35:B35"/>
    <mergeCell ref="C35:H35"/>
    <mergeCell ref="K35:M35"/>
    <mergeCell ref="L23:M23"/>
    <mergeCell ref="L24:M24"/>
    <mergeCell ref="D25:H25"/>
    <mergeCell ref="L25:M25"/>
    <mergeCell ref="A26:A27"/>
    <mergeCell ref="I26:I27"/>
    <mergeCell ref="B27:C27"/>
    <mergeCell ref="D27:H27"/>
    <mergeCell ref="L16:M16"/>
    <mergeCell ref="A17:C17"/>
    <mergeCell ref="D17:H24"/>
    <mergeCell ref="I17:J17"/>
    <mergeCell ref="L17:M17"/>
    <mergeCell ref="I18:J18"/>
    <mergeCell ref="I19:J19"/>
    <mergeCell ref="L20:M20"/>
    <mergeCell ref="L21:M21"/>
    <mergeCell ref="L22:M22"/>
    <mergeCell ref="A10:C11"/>
    <mergeCell ref="D10:M11"/>
    <mergeCell ref="A12:C13"/>
    <mergeCell ref="D12:M13"/>
    <mergeCell ref="A14:C15"/>
    <mergeCell ref="D14:H15"/>
    <mergeCell ref="I14:J15"/>
    <mergeCell ref="K14:K15"/>
    <mergeCell ref="L14:M15"/>
    <mergeCell ref="A6:J6"/>
    <mergeCell ref="K6:M6"/>
    <mergeCell ref="A7:J7"/>
    <mergeCell ref="K7:M7"/>
    <mergeCell ref="A8:C9"/>
    <mergeCell ref="D8:M9"/>
    <mergeCell ref="A5:J5"/>
    <mergeCell ref="K5:M5"/>
    <mergeCell ref="L1:M1"/>
    <mergeCell ref="A3:J3"/>
    <mergeCell ref="K3:M3"/>
    <mergeCell ref="A4:J4"/>
    <mergeCell ref="K4:M4"/>
  </mergeCells>
  <printOptions horizontalCentered="1"/>
  <pageMargins left="0.25" right="0.25" top="0.75" bottom="0.75" header="0.3" footer="0.3"/>
  <pageSetup paperSize="9" scale="76" orientation="portrait" horizontalDpi="360" verticalDpi="360" r:id="rId1"/>
  <headerFooter alignWithMargins="0">
    <oddFooter>&amp;C&amp;"Times New Roman,Regular"&amp;14 48</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R56"/>
  <sheetViews>
    <sheetView showGridLines="0" topLeftCell="A2" zoomScale="64" zoomScaleNormal="115" zoomScaleSheetLayoutView="100" workbookViewId="0">
      <selection activeCell="D17" sqref="D17:H24"/>
    </sheetView>
  </sheetViews>
  <sheetFormatPr defaultRowHeight="13.2"/>
  <cols>
    <col min="1" max="1" width="8.33203125" style="210" customWidth="1"/>
    <col min="2" max="2" width="9.109375" style="210" customWidth="1"/>
    <col min="3" max="3" width="1.33203125" style="210" customWidth="1"/>
    <col min="4" max="4" width="9.109375" style="210" customWidth="1"/>
    <col min="5" max="5" width="6.5546875" style="210" customWidth="1"/>
    <col min="6" max="6" width="8.6640625" style="210" customWidth="1"/>
    <col min="7" max="7" width="1" style="210" customWidth="1"/>
    <col min="8" max="8" width="34.33203125" style="210" customWidth="1"/>
    <col min="9" max="9" width="7.88671875" style="210" customWidth="1"/>
    <col min="10" max="10" width="5.109375" style="210" customWidth="1"/>
    <col min="11" max="11" width="13.33203125" style="210" customWidth="1"/>
    <col min="12" max="12" width="8" style="210" customWidth="1"/>
    <col min="13" max="13" width="16.44140625" style="210" customWidth="1"/>
    <col min="14" max="256" width="9.109375" style="210"/>
    <col min="257" max="257" width="7.44140625" style="210" customWidth="1"/>
    <col min="258" max="258" width="9.109375" style="210" customWidth="1"/>
    <col min="259" max="259" width="4.88671875" style="210" customWidth="1"/>
    <col min="260" max="260" width="7.44140625" style="210" customWidth="1"/>
    <col min="261" max="261" width="6.5546875" style="210" customWidth="1"/>
    <col min="262" max="262" width="10" style="210" customWidth="1"/>
    <col min="263" max="263" width="2" style="210" customWidth="1"/>
    <col min="264" max="264" width="20.44140625" style="210" customWidth="1"/>
    <col min="265" max="265" width="7.88671875" style="210" customWidth="1"/>
    <col min="266" max="266" width="4.44140625" style="210" customWidth="1"/>
    <col min="267" max="267" width="13.33203125" style="210" customWidth="1"/>
    <col min="268" max="268" width="11.109375" style="210" customWidth="1"/>
    <col min="269" max="269" width="15.44140625" style="210" customWidth="1"/>
    <col min="270" max="512" width="9.109375" style="210"/>
    <col min="513" max="513" width="7.44140625" style="210" customWidth="1"/>
    <col min="514" max="514" width="9.109375" style="210" customWidth="1"/>
    <col min="515" max="515" width="4.88671875" style="210" customWidth="1"/>
    <col min="516" max="516" width="7.44140625" style="210" customWidth="1"/>
    <col min="517" max="517" width="6.5546875" style="210" customWidth="1"/>
    <col min="518" max="518" width="10" style="210" customWidth="1"/>
    <col min="519" max="519" width="2" style="210" customWidth="1"/>
    <col min="520" max="520" width="20.44140625" style="210" customWidth="1"/>
    <col min="521" max="521" width="7.88671875" style="210" customWidth="1"/>
    <col min="522" max="522" width="4.44140625" style="210" customWidth="1"/>
    <col min="523" max="523" width="13.33203125" style="210" customWidth="1"/>
    <col min="524" max="524" width="11.109375" style="210" customWidth="1"/>
    <col min="525" max="525" width="15.44140625" style="210" customWidth="1"/>
    <col min="526" max="768" width="9.109375" style="210"/>
    <col min="769" max="769" width="7.44140625" style="210" customWidth="1"/>
    <col min="770" max="770" width="9.109375" style="210" customWidth="1"/>
    <col min="771" max="771" width="4.88671875" style="210" customWidth="1"/>
    <col min="772" max="772" width="7.44140625" style="210" customWidth="1"/>
    <col min="773" max="773" width="6.5546875" style="210" customWidth="1"/>
    <col min="774" max="774" width="10" style="210" customWidth="1"/>
    <col min="775" max="775" width="2" style="210" customWidth="1"/>
    <col min="776" max="776" width="20.44140625" style="210" customWidth="1"/>
    <col min="777" max="777" width="7.88671875" style="210" customWidth="1"/>
    <col min="778" max="778" width="4.44140625" style="210" customWidth="1"/>
    <col min="779" max="779" width="13.33203125" style="210" customWidth="1"/>
    <col min="780" max="780" width="11.109375" style="210" customWidth="1"/>
    <col min="781" max="781" width="15.44140625" style="210" customWidth="1"/>
    <col min="782" max="1024" width="9.109375" style="210"/>
    <col min="1025" max="1025" width="7.44140625" style="210" customWidth="1"/>
    <col min="1026" max="1026" width="9.109375" style="210" customWidth="1"/>
    <col min="1027" max="1027" width="4.88671875" style="210" customWidth="1"/>
    <col min="1028" max="1028" width="7.44140625" style="210" customWidth="1"/>
    <col min="1029" max="1029" width="6.5546875" style="210" customWidth="1"/>
    <col min="1030" max="1030" width="10" style="210" customWidth="1"/>
    <col min="1031" max="1031" width="2" style="210" customWidth="1"/>
    <col min="1032" max="1032" width="20.44140625" style="210" customWidth="1"/>
    <col min="1033" max="1033" width="7.88671875" style="210" customWidth="1"/>
    <col min="1034" max="1034" width="4.44140625" style="210" customWidth="1"/>
    <col min="1035" max="1035" width="13.33203125" style="210" customWidth="1"/>
    <col min="1036" max="1036" width="11.109375" style="210" customWidth="1"/>
    <col min="1037" max="1037" width="15.44140625" style="210" customWidth="1"/>
    <col min="1038" max="1280" width="9.109375" style="210"/>
    <col min="1281" max="1281" width="7.44140625" style="210" customWidth="1"/>
    <col min="1282" max="1282" width="9.109375" style="210" customWidth="1"/>
    <col min="1283" max="1283" width="4.88671875" style="210" customWidth="1"/>
    <col min="1284" max="1284" width="7.44140625" style="210" customWidth="1"/>
    <col min="1285" max="1285" width="6.5546875" style="210" customWidth="1"/>
    <col min="1286" max="1286" width="10" style="210" customWidth="1"/>
    <col min="1287" max="1287" width="2" style="210" customWidth="1"/>
    <col min="1288" max="1288" width="20.44140625" style="210" customWidth="1"/>
    <col min="1289" max="1289" width="7.88671875" style="210" customWidth="1"/>
    <col min="1290" max="1290" width="4.44140625" style="210" customWidth="1"/>
    <col min="1291" max="1291" width="13.33203125" style="210" customWidth="1"/>
    <col min="1292" max="1292" width="11.109375" style="210" customWidth="1"/>
    <col min="1293" max="1293" width="15.44140625" style="210" customWidth="1"/>
    <col min="1294" max="1536" width="9.109375" style="210"/>
    <col min="1537" max="1537" width="7.44140625" style="210" customWidth="1"/>
    <col min="1538" max="1538" width="9.109375" style="210" customWidth="1"/>
    <col min="1539" max="1539" width="4.88671875" style="210" customWidth="1"/>
    <col min="1540" max="1540" width="7.44140625" style="210" customWidth="1"/>
    <col min="1541" max="1541" width="6.5546875" style="210" customWidth="1"/>
    <col min="1542" max="1542" width="10" style="210" customWidth="1"/>
    <col min="1543" max="1543" width="2" style="210" customWidth="1"/>
    <col min="1544" max="1544" width="20.44140625" style="210" customWidth="1"/>
    <col min="1545" max="1545" width="7.88671875" style="210" customWidth="1"/>
    <col min="1546" max="1546" width="4.44140625" style="210" customWidth="1"/>
    <col min="1547" max="1547" width="13.33203125" style="210" customWidth="1"/>
    <col min="1548" max="1548" width="11.109375" style="210" customWidth="1"/>
    <col min="1549" max="1549" width="15.44140625" style="210" customWidth="1"/>
    <col min="1550" max="1792" width="9.109375" style="210"/>
    <col min="1793" max="1793" width="7.44140625" style="210" customWidth="1"/>
    <col min="1794" max="1794" width="9.109375" style="210" customWidth="1"/>
    <col min="1795" max="1795" width="4.88671875" style="210" customWidth="1"/>
    <col min="1796" max="1796" width="7.44140625" style="210" customWidth="1"/>
    <col min="1797" max="1797" width="6.5546875" style="210" customWidth="1"/>
    <col min="1798" max="1798" width="10" style="210" customWidth="1"/>
    <col min="1799" max="1799" width="2" style="210" customWidth="1"/>
    <col min="1800" max="1800" width="20.44140625" style="210" customWidth="1"/>
    <col min="1801" max="1801" width="7.88671875" style="210" customWidth="1"/>
    <col min="1802" max="1802" width="4.44140625" style="210" customWidth="1"/>
    <col min="1803" max="1803" width="13.33203125" style="210" customWidth="1"/>
    <col min="1804" max="1804" width="11.109375" style="210" customWidth="1"/>
    <col min="1805" max="1805" width="15.44140625" style="210" customWidth="1"/>
    <col min="1806" max="2048" width="9.109375" style="210"/>
    <col min="2049" max="2049" width="7.44140625" style="210" customWidth="1"/>
    <col min="2050" max="2050" width="9.109375" style="210" customWidth="1"/>
    <col min="2051" max="2051" width="4.88671875" style="210" customWidth="1"/>
    <col min="2052" max="2052" width="7.44140625" style="210" customWidth="1"/>
    <col min="2053" max="2053" width="6.5546875" style="210" customWidth="1"/>
    <col min="2054" max="2054" width="10" style="210" customWidth="1"/>
    <col min="2055" max="2055" width="2" style="210" customWidth="1"/>
    <col min="2056" max="2056" width="20.44140625" style="210" customWidth="1"/>
    <col min="2057" max="2057" width="7.88671875" style="210" customWidth="1"/>
    <col min="2058" max="2058" width="4.44140625" style="210" customWidth="1"/>
    <col min="2059" max="2059" width="13.33203125" style="210" customWidth="1"/>
    <col min="2060" max="2060" width="11.109375" style="210" customWidth="1"/>
    <col min="2061" max="2061" width="15.44140625" style="210" customWidth="1"/>
    <col min="2062" max="2304" width="9.109375" style="210"/>
    <col min="2305" max="2305" width="7.44140625" style="210" customWidth="1"/>
    <col min="2306" max="2306" width="9.109375" style="210" customWidth="1"/>
    <col min="2307" max="2307" width="4.88671875" style="210" customWidth="1"/>
    <col min="2308" max="2308" width="7.44140625" style="210" customWidth="1"/>
    <col min="2309" max="2309" width="6.5546875" style="210" customWidth="1"/>
    <col min="2310" max="2310" width="10" style="210" customWidth="1"/>
    <col min="2311" max="2311" width="2" style="210" customWidth="1"/>
    <col min="2312" max="2312" width="20.44140625" style="210" customWidth="1"/>
    <col min="2313" max="2313" width="7.88671875" style="210" customWidth="1"/>
    <col min="2314" max="2314" width="4.44140625" style="210" customWidth="1"/>
    <col min="2315" max="2315" width="13.33203125" style="210" customWidth="1"/>
    <col min="2316" max="2316" width="11.109375" style="210" customWidth="1"/>
    <col min="2317" max="2317" width="15.44140625" style="210" customWidth="1"/>
    <col min="2318" max="2560" width="9.109375" style="210"/>
    <col min="2561" max="2561" width="7.44140625" style="210" customWidth="1"/>
    <col min="2562" max="2562" width="9.109375" style="210" customWidth="1"/>
    <col min="2563" max="2563" width="4.88671875" style="210" customWidth="1"/>
    <col min="2564" max="2564" width="7.44140625" style="210" customWidth="1"/>
    <col min="2565" max="2565" width="6.5546875" style="210" customWidth="1"/>
    <col min="2566" max="2566" width="10" style="210" customWidth="1"/>
    <col min="2567" max="2567" width="2" style="210" customWidth="1"/>
    <col min="2568" max="2568" width="20.44140625" style="210" customWidth="1"/>
    <col min="2569" max="2569" width="7.88671875" style="210" customWidth="1"/>
    <col min="2570" max="2570" width="4.44140625" style="210" customWidth="1"/>
    <col min="2571" max="2571" width="13.33203125" style="210" customWidth="1"/>
    <col min="2572" max="2572" width="11.109375" style="210" customWidth="1"/>
    <col min="2573" max="2573" width="15.44140625" style="210" customWidth="1"/>
    <col min="2574" max="2816" width="9.109375" style="210"/>
    <col min="2817" max="2817" width="7.44140625" style="210" customWidth="1"/>
    <col min="2818" max="2818" width="9.109375" style="210" customWidth="1"/>
    <col min="2819" max="2819" width="4.88671875" style="210" customWidth="1"/>
    <col min="2820" max="2820" width="7.44140625" style="210" customWidth="1"/>
    <col min="2821" max="2821" width="6.5546875" style="210" customWidth="1"/>
    <col min="2822" max="2822" width="10" style="210" customWidth="1"/>
    <col min="2823" max="2823" width="2" style="210" customWidth="1"/>
    <col min="2824" max="2824" width="20.44140625" style="210" customWidth="1"/>
    <col min="2825" max="2825" width="7.88671875" style="210" customWidth="1"/>
    <col min="2826" max="2826" width="4.44140625" style="210" customWidth="1"/>
    <col min="2827" max="2827" width="13.33203125" style="210" customWidth="1"/>
    <col min="2828" max="2828" width="11.109375" style="210" customWidth="1"/>
    <col min="2829" max="2829" width="15.44140625" style="210" customWidth="1"/>
    <col min="2830" max="3072" width="9.109375" style="210"/>
    <col min="3073" max="3073" width="7.44140625" style="210" customWidth="1"/>
    <col min="3074" max="3074" width="9.109375" style="210" customWidth="1"/>
    <col min="3075" max="3075" width="4.88671875" style="210" customWidth="1"/>
    <col min="3076" max="3076" width="7.44140625" style="210" customWidth="1"/>
    <col min="3077" max="3077" width="6.5546875" style="210" customWidth="1"/>
    <col min="3078" max="3078" width="10" style="210" customWidth="1"/>
    <col min="3079" max="3079" width="2" style="210" customWidth="1"/>
    <col min="3080" max="3080" width="20.44140625" style="210" customWidth="1"/>
    <col min="3081" max="3081" width="7.88671875" style="210" customWidth="1"/>
    <col min="3082" max="3082" width="4.44140625" style="210" customWidth="1"/>
    <col min="3083" max="3083" width="13.33203125" style="210" customWidth="1"/>
    <col min="3084" max="3084" width="11.109375" style="210" customWidth="1"/>
    <col min="3085" max="3085" width="15.44140625" style="210" customWidth="1"/>
    <col min="3086" max="3328" width="9.109375" style="210"/>
    <col min="3329" max="3329" width="7.44140625" style="210" customWidth="1"/>
    <col min="3330" max="3330" width="9.109375" style="210" customWidth="1"/>
    <col min="3331" max="3331" width="4.88671875" style="210" customWidth="1"/>
    <col min="3332" max="3332" width="7.44140625" style="210" customWidth="1"/>
    <col min="3333" max="3333" width="6.5546875" style="210" customWidth="1"/>
    <col min="3334" max="3334" width="10" style="210" customWidth="1"/>
    <col min="3335" max="3335" width="2" style="210" customWidth="1"/>
    <col min="3336" max="3336" width="20.44140625" style="210" customWidth="1"/>
    <col min="3337" max="3337" width="7.88671875" style="210" customWidth="1"/>
    <col min="3338" max="3338" width="4.44140625" style="210" customWidth="1"/>
    <col min="3339" max="3339" width="13.33203125" style="210" customWidth="1"/>
    <col min="3340" max="3340" width="11.109375" style="210" customWidth="1"/>
    <col min="3341" max="3341" width="15.44140625" style="210" customWidth="1"/>
    <col min="3342" max="3584" width="9.109375" style="210"/>
    <col min="3585" max="3585" width="7.44140625" style="210" customWidth="1"/>
    <col min="3586" max="3586" width="9.109375" style="210" customWidth="1"/>
    <col min="3587" max="3587" width="4.88671875" style="210" customWidth="1"/>
    <col min="3588" max="3588" width="7.44140625" style="210" customWidth="1"/>
    <col min="3589" max="3589" width="6.5546875" style="210" customWidth="1"/>
    <col min="3590" max="3590" width="10" style="210" customWidth="1"/>
    <col min="3591" max="3591" width="2" style="210" customWidth="1"/>
    <col min="3592" max="3592" width="20.44140625" style="210" customWidth="1"/>
    <col min="3593" max="3593" width="7.88671875" style="210" customWidth="1"/>
    <col min="3594" max="3594" width="4.44140625" style="210" customWidth="1"/>
    <col min="3595" max="3595" width="13.33203125" style="210" customWidth="1"/>
    <col min="3596" max="3596" width="11.109375" style="210" customWidth="1"/>
    <col min="3597" max="3597" width="15.44140625" style="210" customWidth="1"/>
    <col min="3598" max="3840" width="9.109375" style="210"/>
    <col min="3841" max="3841" width="7.44140625" style="210" customWidth="1"/>
    <col min="3842" max="3842" width="9.109375" style="210" customWidth="1"/>
    <col min="3843" max="3843" width="4.88671875" style="210" customWidth="1"/>
    <col min="3844" max="3844" width="7.44140625" style="210" customWidth="1"/>
    <col min="3845" max="3845" width="6.5546875" style="210" customWidth="1"/>
    <col min="3846" max="3846" width="10" style="210" customWidth="1"/>
    <col min="3847" max="3847" width="2" style="210" customWidth="1"/>
    <col min="3848" max="3848" width="20.44140625" style="210" customWidth="1"/>
    <col min="3849" max="3849" width="7.88671875" style="210" customWidth="1"/>
    <col min="3850" max="3850" width="4.44140625" style="210" customWidth="1"/>
    <col min="3851" max="3851" width="13.33203125" style="210" customWidth="1"/>
    <col min="3852" max="3852" width="11.109375" style="210" customWidth="1"/>
    <col min="3853" max="3853" width="15.44140625" style="210" customWidth="1"/>
    <col min="3854" max="4096" width="9.109375" style="210"/>
    <col min="4097" max="4097" width="7.44140625" style="210" customWidth="1"/>
    <col min="4098" max="4098" width="9.109375" style="210" customWidth="1"/>
    <col min="4099" max="4099" width="4.88671875" style="210" customWidth="1"/>
    <col min="4100" max="4100" width="7.44140625" style="210" customWidth="1"/>
    <col min="4101" max="4101" width="6.5546875" style="210" customWidth="1"/>
    <col min="4102" max="4102" width="10" style="210" customWidth="1"/>
    <col min="4103" max="4103" width="2" style="210" customWidth="1"/>
    <col min="4104" max="4104" width="20.44140625" style="210" customWidth="1"/>
    <col min="4105" max="4105" width="7.88671875" style="210" customWidth="1"/>
    <col min="4106" max="4106" width="4.44140625" style="210" customWidth="1"/>
    <col min="4107" max="4107" width="13.33203125" style="210" customWidth="1"/>
    <col min="4108" max="4108" width="11.109375" style="210" customWidth="1"/>
    <col min="4109" max="4109" width="15.44140625" style="210" customWidth="1"/>
    <col min="4110" max="4352" width="9.109375" style="210"/>
    <col min="4353" max="4353" width="7.44140625" style="210" customWidth="1"/>
    <col min="4354" max="4354" width="9.109375" style="210" customWidth="1"/>
    <col min="4355" max="4355" width="4.88671875" style="210" customWidth="1"/>
    <col min="4356" max="4356" width="7.44140625" style="210" customWidth="1"/>
    <col min="4357" max="4357" width="6.5546875" style="210" customWidth="1"/>
    <col min="4358" max="4358" width="10" style="210" customWidth="1"/>
    <col min="4359" max="4359" width="2" style="210" customWidth="1"/>
    <col min="4360" max="4360" width="20.44140625" style="210" customWidth="1"/>
    <col min="4361" max="4361" width="7.88671875" style="210" customWidth="1"/>
    <col min="4362" max="4362" width="4.44140625" style="210" customWidth="1"/>
    <col min="4363" max="4363" width="13.33203125" style="210" customWidth="1"/>
    <col min="4364" max="4364" width="11.109375" style="210" customWidth="1"/>
    <col min="4365" max="4365" width="15.44140625" style="210" customWidth="1"/>
    <col min="4366" max="4608" width="9.109375" style="210"/>
    <col min="4609" max="4609" width="7.44140625" style="210" customWidth="1"/>
    <col min="4610" max="4610" width="9.109375" style="210" customWidth="1"/>
    <col min="4611" max="4611" width="4.88671875" style="210" customWidth="1"/>
    <col min="4612" max="4612" width="7.44140625" style="210" customWidth="1"/>
    <col min="4613" max="4613" width="6.5546875" style="210" customWidth="1"/>
    <col min="4614" max="4614" width="10" style="210" customWidth="1"/>
    <col min="4615" max="4615" width="2" style="210" customWidth="1"/>
    <col min="4616" max="4616" width="20.44140625" style="210" customWidth="1"/>
    <col min="4617" max="4617" width="7.88671875" style="210" customWidth="1"/>
    <col min="4618" max="4618" width="4.44140625" style="210" customWidth="1"/>
    <col min="4619" max="4619" width="13.33203125" style="210" customWidth="1"/>
    <col min="4620" max="4620" width="11.109375" style="210" customWidth="1"/>
    <col min="4621" max="4621" width="15.44140625" style="210" customWidth="1"/>
    <col min="4622" max="4864" width="9.109375" style="210"/>
    <col min="4865" max="4865" width="7.44140625" style="210" customWidth="1"/>
    <col min="4866" max="4866" width="9.109375" style="210" customWidth="1"/>
    <col min="4867" max="4867" width="4.88671875" style="210" customWidth="1"/>
    <col min="4868" max="4868" width="7.44140625" style="210" customWidth="1"/>
    <col min="4869" max="4869" width="6.5546875" style="210" customWidth="1"/>
    <col min="4870" max="4870" width="10" style="210" customWidth="1"/>
    <col min="4871" max="4871" width="2" style="210" customWidth="1"/>
    <col min="4872" max="4872" width="20.44140625" style="210" customWidth="1"/>
    <col min="4873" max="4873" width="7.88671875" style="210" customWidth="1"/>
    <col min="4874" max="4874" width="4.44140625" style="210" customWidth="1"/>
    <col min="4875" max="4875" width="13.33203125" style="210" customWidth="1"/>
    <col min="4876" max="4876" width="11.109375" style="210" customWidth="1"/>
    <col min="4877" max="4877" width="15.44140625" style="210" customWidth="1"/>
    <col min="4878" max="5120" width="9.109375" style="210"/>
    <col min="5121" max="5121" width="7.44140625" style="210" customWidth="1"/>
    <col min="5122" max="5122" width="9.109375" style="210" customWidth="1"/>
    <col min="5123" max="5123" width="4.88671875" style="210" customWidth="1"/>
    <col min="5124" max="5124" width="7.44140625" style="210" customWidth="1"/>
    <col min="5125" max="5125" width="6.5546875" style="210" customWidth="1"/>
    <col min="5126" max="5126" width="10" style="210" customWidth="1"/>
    <col min="5127" max="5127" width="2" style="210" customWidth="1"/>
    <col min="5128" max="5128" width="20.44140625" style="210" customWidth="1"/>
    <col min="5129" max="5129" width="7.88671875" style="210" customWidth="1"/>
    <col min="5130" max="5130" width="4.44140625" style="210" customWidth="1"/>
    <col min="5131" max="5131" width="13.33203125" style="210" customWidth="1"/>
    <col min="5132" max="5132" width="11.109375" style="210" customWidth="1"/>
    <col min="5133" max="5133" width="15.44140625" style="210" customWidth="1"/>
    <col min="5134" max="5376" width="9.109375" style="210"/>
    <col min="5377" max="5377" width="7.44140625" style="210" customWidth="1"/>
    <col min="5378" max="5378" width="9.109375" style="210" customWidth="1"/>
    <col min="5379" max="5379" width="4.88671875" style="210" customWidth="1"/>
    <col min="5380" max="5380" width="7.44140625" style="210" customWidth="1"/>
    <col min="5381" max="5381" width="6.5546875" style="210" customWidth="1"/>
    <col min="5382" max="5382" width="10" style="210" customWidth="1"/>
    <col min="5383" max="5383" width="2" style="210" customWidth="1"/>
    <col min="5384" max="5384" width="20.44140625" style="210" customWidth="1"/>
    <col min="5385" max="5385" width="7.88671875" style="210" customWidth="1"/>
    <col min="5386" max="5386" width="4.44140625" style="210" customWidth="1"/>
    <col min="5387" max="5387" width="13.33203125" style="210" customWidth="1"/>
    <col min="5388" max="5388" width="11.109375" style="210" customWidth="1"/>
    <col min="5389" max="5389" width="15.44140625" style="210" customWidth="1"/>
    <col min="5390" max="5632" width="9.109375" style="210"/>
    <col min="5633" max="5633" width="7.44140625" style="210" customWidth="1"/>
    <col min="5634" max="5634" width="9.109375" style="210" customWidth="1"/>
    <col min="5635" max="5635" width="4.88671875" style="210" customWidth="1"/>
    <col min="5636" max="5636" width="7.44140625" style="210" customWidth="1"/>
    <col min="5637" max="5637" width="6.5546875" style="210" customWidth="1"/>
    <col min="5638" max="5638" width="10" style="210" customWidth="1"/>
    <col min="5639" max="5639" width="2" style="210" customWidth="1"/>
    <col min="5640" max="5640" width="20.44140625" style="210" customWidth="1"/>
    <col min="5641" max="5641" width="7.88671875" style="210" customWidth="1"/>
    <col min="5642" max="5642" width="4.44140625" style="210" customWidth="1"/>
    <col min="5643" max="5643" width="13.33203125" style="210" customWidth="1"/>
    <col min="5644" max="5644" width="11.109375" style="210" customWidth="1"/>
    <col min="5645" max="5645" width="15.44140625" style="210" customWidth="1"/>
    <col min="5646" max="5888" width="9.109375" style="210"/>
    <col min="5889" max="5889" width="7.44140625" style="210" customWidth="1"/>
    <col min="5890" max="5890" width="9.109375" style="210" customWidth="1"/>
    <col min="5891" max="5891" width="4.88671875" style="210" customWidth="1"/>
    <col min="5892" max="5892" width="7.44140625" style="210" customWidth="1"/>
    <col min="5893" max="5893" width="6.5546875" style="210" customWidth="1"/>
    <col min="5894" max="5894" width="10" style="210" customWidth="1"/>
    <col min="5895" max="5895" width="2" style="210" customWidth="1"/>
    <col min="5896" max="5896" width="20.44140625" style="210" customWidth="1"/>
    <col min="5897" max="5897" width="7.88671875" style="210" customWidth="1"/>
    <col min="5898" max="5898" width="4.44140625" style="210" customWidth="1"/>
    <col min="5899" max="5899" width="13.33203125" style="210" customWidth="1"/>
    <col min="5900" max="5900" width="11.109375" style="210" customWidth="1"/>
    <col min="5901" max="5901" width="15.44140625" style="210" customWidth="1"/>
    <col min="5902" max="6144" width="9.109375" style="210"/>
    <col min="6145" max="6145" width="7.44140625" style="210" customWidth="1"/>
    <col min="6146" max="6146" width="9.109375" style="210" customWidth="1"/>
    <col min="6147" max="6147" width="4.88671875" style="210" customWidth="1"/>
    <col min="6148" max="6148" width="7.44140625" style="210" customWidth="1"/>
    <col min="6149" max="6149" width="6.5546875" style="210" customWidth="1"/>
    <col min="6150" max="6150" width="10" style="210" customWidth="1"/>
    <col min="6151" max="6151" width="2" style="210" customWidth="1"/>
    <col min="6152" max="6152" width="20.44140625" style="210" customWidth="1"/>
    <col min="6153" max="6153" width="7.88671875" style="210" customWidth="1"/>
    <col min="6154" max="6154" width="4.44140625" style="210" customWidth="1"/>
    <col min="6155" max="6155" width="13.33203125" style="210" customWidth="1"/>
    <col min="6156" max="6156" width="11.109375" style="210" customWidth="1"/>
    <col min="6157" max="6157" width="15.44140625" style="210" customWidth="1"/>
    <col min="6158" max="6400" width="9.109375" style="210"/>
    <col min="6401" max="6401" width="7.44140625" style="210" customWidth="1"/>
    <col min="6402" max="6402" width="9.109375" style="210" customWidth="1"/>
    <col min="6403" max="6403" width="4.88671875" style="210" customWidth="1"/>
    <col min="6404" max="6404" width="7.44140625" style="210" customWidth="1"/>
    <col min="6405" max="6405" width="6.5546875" style="210" customWidth="1"/>
    <col min="6406" max="6406" width="10" style="210" customWidth="1"/>
    <col min="6407" max="6407" width="2" style="210" customWidth="1"/>
    <col min="6408" max="6408" width="20.44140625" style="210" customWidth="1"/>
    <col min="6409" max="6409" width="7.88671875" style="210" customWidth="1"/>
    <col min="6410" max="6410" width="4.44140625" style="210" customWidth="1"/>
    <col min="6411" max="6411" width="13.33203125" style="210" customWidth="1"/>
    <col min="6412" max="6412" width="11.109375" style="210" customWidth="1"/>
    <col min="6413" max="6413" width="15.44140625" style="210" customWidth="1"/>
    <col min="6414" max="6656" width="9.109375" style="210"/>
    <col min="6657" max="6657" width="7.44140625" style="210" customWidth="1"/>
    <col min="6658" max="6658" width="9.109375" style="210" customWidth="1"/>
    <col min="6659" max="6659" width="4.88671875" style="210" customWidth="1"/>
    <col min="6660" max="6660" width="7.44140625" style="210" customWidth="1"/>
    <col min="6661" max="6661" width="6.5546875" style="210" customWidth="1"/>
    <col min="6662" max="6662" width="10" style="210" customWidth="1"/>
    <col min="6663" max="6663" width="2" style="210" customWidth="1"/>
    <col min="6664" max="6664" width="20.44140625" style="210" customWidth="1"/>
    <col min="6665" max="6665" width="7.88671875" style="210" customWidth="1"/>
    <col min="6666" max="6666" width="4.44140625" style="210" customWidth="1"/>
    <col min="6667" max="6667" width="13.33203125" style="210" customWidth="1"/>
    <col min="6668" max="6668" width="11.109375" style="210" customWidth="1"/>
    <col min="6669" max="6669" width="15.44140625" style="210" customWidth="1"/>
    <col min="6670" max="6912" width="9.109375" style="210"/>
    <col min="6913" max="6913" width="7.44140625" style="210" customWidth="1"/>
    <col min="6914" max="6914" width="9.109375" style="210" customWidth="1"/>
    <col min="6915" max="6915" width="4.88671875" style="210" customWidth="1"/>
    <col min="6916" max="6916" width="7.44140625" style="210" customWidth="1"/>
    <col min="6917" max="6917" width="6.5546875" style="210" customWidth="1"/>
    <col min="6918" max="6918" width="10" style="210" customWidth="1"/>
    <col min="6919" max="6919" width="2" style="210" customWidth="1"/>
    <col min="6920" max="6920" width="20.44140625" style="210" customWidth="1"/>
    <col min="6921" max="6921" width="7.88671875" style="210" customWidth="1"/>
    <col min="6922" max="6922" width="4.44140625" style="210" customWidth="1"/>
    <col min="6923" max="6923" width="13.33203125" style="210" customWidth="1"/>
    <col min="6924" max="6924" width="11.109375" style="210" customWidth="1"/>
    <col min="6925" max="6925" width="15.44140625" style="210" customWidth="1"/>
    <col min="6926" max="7168" width="9.109375" style="210"/>
    <col min="7169" max="7169" width="7.44140625" style="210" customWidth="1"/>
    <col min="7170" max="7170" width="9.109375" style="210" customWidth="1"/>
    <col min="7171" max="7171" width="4.88671875" style="210" customWidth="1"/>
    <col min="7172" max="7172" width="7.44140625" style="210" customWidth="1"/>
    <col min="7173" max="7173" width="6.5546875" style="210" customWidth="1"/>
    <col min="7174" max="7174" width="10" style="210" customWidth="1"/>
    <col min="7175" max="7175" width="2" style="210" customWidth="1"/>
    <col min="7176" max="7176" width="20.44140625" style="210" customWidth="1"/>
    <col min="7177" max="7177" width="7.88671875" style="210" customWidth="1"/>
    <col min="7178" max="7178" width="4.44140625" style="210" customWidth="1"/>
    <col min="7179" max="7179" width="13.33203125" style="210" customWidth="1"/>
    <col min="7180" max="7180" width="11.109375" style="210" customWidth="1"/>
    <col min="7181" max="7181" width="15.44140625" style="210" customWidth="1"/>
    <col min="7182" max="7424" width="9.109375" style="210"/>
    <col min="7425" max="7425" width="7.44140625" style="210" customWidth="1"/>
    <col min="7426" max="7426" width="9.109375" style="210" customWidth="1"/>
    <col min="7427" max="7427" width="4.88671875" style="210" customWidth="1"/>
    <col min="7428" max="7428" width="7.44140625" style="210" customWidth="1"/>
    <col min="7429" max="7429" width="6.5546875" style="210" customWidth="1"/>
    <col min="7430" max="7430" width="10" style="210" customWidth="1"/>
    <col min="7431" max="7431" width="2" style="210" customWidth="1"/>
    <col min="7432" max="7432" width="20.44140625" style="210" customWidth="1"/>
    <col min="7433" max="7433" width="7.88671875" style="210" customWidth="1"/>
    <col min="7434" max="7434" width="4.44140625" style="210" customWidth="1"/>
    <col min="7435" max="7435" width="13.33203125" style="210" customWidth="1"/>
    <col min="7436" max="7436" width="11.109375" style="210" customWidth="1"/>
    <col min="7437" max="7437" width="15.44140625" style="210" customWidth="1"/>
    <col min="7438" max="7680" width="9.109375" style="210"/>
    <col min="7681" max="7681" width="7.44140625" style="210" customWidth="1"/>
    <col min="7682" max="7682" width="9.109375" style="210" customWidth="1"/>
    <col min="7683" max="7683" width="4.88671875" style="210" customWidth="1"/>
    <col min="7684" max="7684" width="7.44140625" style="210" customWidth="1"/>
    <col min="7685" max="7685" width="6.5546875" style="210" customWidth="1"/>
    <col min="7686" max="7686" width="10" style="210" customWidth="1"/>
    <col min="7687" max="7687" width="2" style="210" customWidth="1"/>
    <col min="7688" max="7688" width="20.44140625" style="210" customWidth="1"/>
    <col min="7689" max="7689" width="7.88671875" style="210" customWidth="1"/>
    <col min="7690" max="7690" width="4.44140625" style="210" customWidth="1"/>
    <col min="7691" max="7691" width="13.33203125" style="210" customWidth="1"/>
    <col min="7692" max="7692" width="11.109375" style="210" customWidth="1"/>
    <col min="7693" max="7693" width="15.44140625" style="210" customWidth="1"/>
    <col min="7694" max="7936" width="9.109375" style="210"/>
    <col min="7937" max="7937" width="7.44140625" style="210" customWidth="1"/>
    <col min="7938" max="7938" width="9.109375" style="210" customWidth="1"/>
    <col min="7939" max="7939" width="4.88671875" style="210" customWidth="1"/>
    <col min="7940" max="7940" width="7.44140625" style="210" customWidth="1"/>
    <col min="7941" max="7941" width="6.5546875" style="210" customWidth="1"/>
    <col min="7942" max="7942" width="10" style="210" customWidth="1"/>
    <col min="7943" max="7943" width="2" style="210" customWidth="1"/>
    <col min="7944" max="7944" width="20.44140625" style="210" customWidth="1"/>
    <col min="7945" max="7945" width="7.88671875" style="210" customWidth="1"/>
    <col min="7946" max="7946" width="4.44140625" style="210" customWidth="1"/>
    <col min="7947" max="7947" width="13.33203125" style="210" customWidth="1"/>
    <col min="7948" max="7948" width="11.109375" style="210" customWidth="1"/>
    <col min="7949" max="7949" width="15.44140625" style="210" customWidth="1"/>
    <col min="7950" max="8192" width="9.109375" style="210"/>
    <col min="8193" max="8193" width="7.44140625" style="210" customWidth="1"/>
    <col min="8194" max="8194" width="9.109375" style="210" customWidth="1"/>
    <col min="8195" max="8195" width="4.88671875" style="210" customWidth="1"/>
    <col min="8196" max="8196" width="7.44140625" style="210" customWidth="1"/>
    <col min="8197" max="8197" width="6.5546875" style="210" customWidth="1"/>
    <col min="8198" max="8198" width="10" style="210" customWidth="1"/>
    <col min="8199" max="8199" width="2" style="210" customWidth="1"/>
    <col min="8200" max="8200" width="20.44140625" style="210" customWidth="1"/>
    <col min="8201" max="8201" width="7.88671875" style="210" customWidth="1"/>
    <col min="8202" max="8202" width="4.44140625" style="210" customWidth="1"/>
    <col min="8203" max="8203" width="13.33203125" style="210" customWidth="1"/>
    <col min="8204" max="8204" width="11.109375" style="210" customWidth="1"/>
    <col min="8205" max="8205" width="15.44140625" style="210" customWidth="1"/>
    <col min="8206" max="8448" width="9.109375" style="210"/>
    <col min="8449" max="8449" width="7.44140625" style="210" customWidth="1"/>
    <col min="8450" max="8450" width="9.109375" style="210" customWidth="1"/>
    <col min="8451" max="8451" width="4.88671875" style="210" customWidth="1"/>
    <col min="8452" max="8452" width="7.44140625" style="210" customWidth="1"/>
    <col min="8453" max="8453" width="6.5546875" style="210" customWidth="1"/>
    <col min="8454" max="8454" width="10" style="210" customWidth="1"/>
    <col min="8455" max="8455" width="2" style="210" customWidth="1"/>
    <col min="8456" max="8456" width="20.44140625" style="210" customWidth="1"/>
    <col min="8457" max="8457" width="7.88671875" style="210" customWidth="1"/>
    <col min="8458" max="8458" width="4.44140625" style="210" customWidth="1"/>
    <col min="8459" max="8459" width="13.33203125" style="210" customWidth="1"/>
    <col min="8460" max="8460" width="11.109375" style="210" customWidth="1"/>
    <col min="8461" max="8461" width="15.44140625" style="210" customWidth="1"/>
    <col min="8462" max="8704" width="9.109375" style="210"/>
    <col min="8705" max="8705" width="7.44140625" style="210" customWidth="1"/>
    <col min="8706" max="8706" width="9.109375" style="210" customWidth="1"/>
    <col min="8707" max="8707" width="4.88671875" style="210" customWidth="1"/>
    <col min="8708" max="8708" width="7.44140625" style="210" customWidth="1"/>
    <col min="8709" max="8709" width="6.5546875" style="210" customWidth="1"/>
    <col min="8710" max="8710" width="10" style="210" customWidth="1"/>
    <col min="8711" max="8711" width="2" style="210" customWidth="1"/>
    <col min="8712" max="8712" width="20.44140625" style="210" customWidth="1"/>
    <col min="8713" max="8713" width="7.88671875" style="210" customWidth="1"/>
    <col min="8714" max="8714" width="4.44140625" style="210" customWidth="1"/>
    <col min="8715" max="8715" width="13.33203125" style="210" customWidth="1"/>
    <col min="8716" max="8716" width="11.109375" style="210" customWidth="1"/>
    <col min="8717" max="8717" width="15.44140625" style="210" customWidth="1"/>
    <col min="8718" max="8960" width="9.109375" style="210"/>
    <col min="8961" max="8961" width="7.44140625" style="210" customWidth="1"/>
    <col min="8962" max="8962" width="9.109375" style="210" customWidth="1"/>
    <col min="8963" max="8963" width="4.88671875" style="210" customWidth="1"/>
    <col min="8964" max="8964" width="7.44140625" style="210" customWidth="1"/>
    <col min="8965" max="8965" width="6.5546875" style="210" customWidth="1"/>
    <col min="8966" max="8966" width="10" style="210" customWidth="1"/>
    <col min="8967" max="8967" width="2" style="210" customWidth="1"/>
    <col min="8968" max="8968" width="20.44140625" style="210" customWidth="1"/>
    <col min="8969" max="8969" width="7.88671875" style="210" customWidth="1"/>
    <col min="8970" max="8970" width="4.44140625" style="210" customWidth="1"/>
    <col min="8971" max="8971" width="13.33203125" style="210" customWidth="1"/>
    <col min="8972" max="8972" width="11.109375" style="210" customWidth="1"/>
    <col min="8973" max="8973" width="15.44140625" style="210" customWidth="1"/>
    <col min="8974" max="9216" width="9.109375" style="210"/>
    <col min="9217" max="9217" width="7.44140625" style="210" customWidth="1"/>
    <col min="9218" max="9218" width="9.109375" style="210" customWidth="1"/>
    <col min="9219" max="9219" width="4.88671875" style="210" customWidth="1"/>
    <col min="9220" max="9220" width="7.44140625" style="210" customWidth="1"/>
    <col min="9221" max="9221" width="6.5546875" style="210" customWidth="1"/>
    <col min="9222" max="9222" width="10" style="210" customWidth="1"/>
    <col min="9223" max="9223" width="2" style="210" customWidth="1"/>
    <col min="9224" max="9224" width="20.44140625" style="210" customWidth="1"/>
    <col min="9225" max="9225" width="7.88671875" style="210" customWidth="1"/>
    <col min="9226" max="9226" width="4.44140625" style="210" customWidth="1"/>
    <col min="9227" max="9227" width="13.33203125" style="210" customWidth="1"/>
    <col min="9228" max="9228" width="11.109375" style="210" customWidth="1"/>
    <col min="9229" max="9229" width="15.44140625" style="210" customWidth="1"/>
    <col min="9230" max="9472" width="9.109375" style="210"/>
    <col min="9473" max="9473" width="7.44140625" style="210" customWidth="1"/>
    <col min="9474" max="9474" width="9.109375" style="210" customWidth="1"/>
    <col min="9475" max="9475" width="4.88671875" style="210" customWidth="1"/>
    <col min="9476" max="9476" width="7.44140625" style="210" customWidth="1"/>
    <col min="9477" max="9477" width="6.5546875" style="210" customWidth="1"/>
    <col min="9478" max="9478" width="10" style="210" customWidth="1"/>
    <col min="9479" max="9479" width="2" style="210" customWidth="1"/>
    <col min="9480" max="9480" width="20.44140625" style="210" customWidth="1"/>
    <col min="9481" max="9481" width="7.88671875" style="210" customWidth="1"/>
    <col min="9482" max="9482" width="4.44140625" style="210" customWidth="1"/>
    <col min="9483" max="9483" width="13.33203125" style="210" customWidth="1"/>
    <col min="9484" max="9484" width="11.109375" style="210" customWidth="1"/>
    <col min="9485" max="9485" width="15.44140625" style="210" customWidth="1"/>
    <col min="9486" max="9728" width="9.109375" style="210"/>
    <col min="9729" max="9729" width="7.44140625" style="210" customWidth="1"/>
    <col min="9730" max="9730" width="9.109375" style="210" customWidth="1"/>
    <col min="9731" max="9731" width="4.88671875" style="210" customWidth="1"/>
    <col min="9732" max="9732" width="7.44140625" style="210" customWidth="1"/>
    <col min="9733" max="9733" width="6.5546875" style="210" customWidth="1"/>
    <col min="9734" max="9734" width="10" style="210" customWidth="1"/>
    <col min="9735" max="9735" width="2" style="210" customWidth="1"/>
    <col min="9736" max="9736" width="20.44140625" style="210" customWidth="1"/>
    <col min="9737" max="9737" width="7.88671875" style="210" customWidth="1"/>
    <col min="9738" max="9738" width="4.44140625" style="210" customWidth="1"/>
    <col min="9739" max="9739" width="13.33203125" style="210" customWidth="1"/>
    <col min="9740" max="9740" width="11.109375" style="210" customWidth="1"/>
    <col min="9741" max="9741" width="15.44140625" style="210" customWidth="1"/>
    <col min="9742" max="9984" width="9.109375" style="210"/>
    <col min="9985" max="9985" width="7.44140625" style="210" customWidth="1"/>
    <col min="9986" max="9986" width="9.109375" style="210" customWidth="1"/>
    <col min="9987" max="9987" width="4.88671875" style="210" customWidth="1"/>
    <col min="9988" max="9988" width="7.44140625" style="210" customWidth="1"/>
    <col min="9989" max="9989" width="6.5546875" style="210" customWidth="1"/>
    <col min="9990" max="9990" width="10" style="210" customWidth="1"/>
    <col min="9991" max="9991" width="2" style="210" customWidth="1"/>
    <col min="9992" max="9992" width="20.44140625" style="210" customWidth="1"/>
    <col min="9993" max="9993" width="7.88671875" style="210" customWidth="1"/>
    <col min="9994" max="9994" width="4.44140625" style="210" customWidth="1"/>
    <col min="9995" max="9995" width="13.33203125" style="210" customWidth="1"/>
    <col min="9996" max="9996" width="11.109375" style="210" customWidth="1"/>
    <col min="9997" max="9997" width="15.44140625" style="210" customWidth="1"/>
    <col min="9998" max="10240" width="9.109375" style="210"/>
    <col min="10241" max="10241" width="7.44140625" style="210" customWidth="1"/>
    <col min="10242" max="10242" width="9.109375" style="210" customWidth="1"/>
    <col min="10243" max="10243" width="4.88671875" style="210" customWidth="1"/>
    <col min="10244" max="10244" width="7.44140625" style="210" customWidth="1"/>
    <col min="10245" max="10245" width="6.5546875" style="210" customWidth="1"/>
    <col min="10246" max="10246" width="10" style="210" customWidth="1"/>
    <col min="10247" max="10247" width="2" style="210" customWidth="1"/>
    <col min="10248" max="10248" width="20.44140625" style="210" customWidth="1"/>
    <col min="10249" max="10249" width="7.88671875" style="210" customWidth="1"/>
    <col min="10250" max="10250" width="4.44140625" style="210" customWidth="1"/>
    <col min="10251" max="10251" width="13.33203125" style="210" customWidth="1"/>
    <col min="10252" max="10252" width="11.109375" style="210" customWidth="1"/>
    <col min="10253" max="10253" width="15.44140625" style="210" customWidth="1"/>
    <col min="10254" max="10496" width="9.109375" style="210"/>
    <col min="10497" max="10497" width="7.44140625" style="210" customWidth="1"/>
    <col min="10498" max="10498" width="9.109375" style="210" customWidth="1"/>
    <col min="10499" max="10499" width="4.88671875" style="210" customWidth="1"/>
    <col min="10500" max="10500" width="7.44140625" style="210" customWidth="1"/>
    <col min="10501" max="10501" width="6.5546875" style="210" customWidth="1"/>
    <col min="10502" max="10502" width="10" style="210" customWidth="1"/>
    <col min="10503" max="10503" width="2" style="210" customWidth="1"/>
    <col min="10504" max="10504" width="20.44140625" style="210" customWidth="1"/>
    <col min="10505" max="10505" width="7.88671875" style="210" customWidth="1"/>
    <col min="10506" max="10506" width="4.44140625" style="210" customWidth="1"/>
    <col min="10507" max="10507" width="13.33203125" style="210" customWidth="1"/>
    <col min="10508" max="10508" width="11.109375" style="210" customWidth="1"/>
    <col min="10509" max="10509" width="15.44140625" style="210" customWidth="1"/>
    <col min="10510" max="10752" width="9.109375" style="210"/>
    <col min="10753" max="10753" width="7.44140625" style="210" customWidth="1"/>
    <col min="10754" max="10754" width="9.109375" style="210" customWidth="1"/>
    <col min="10755" max="10755" width="4.88671875" style="210" customWidth="1"/>
    <col min="10756" max="10756" width="7.44140625" style="210" customWidth="1"/>
    <col min="10757" max="10757" width="6.5546875" style="210" customWidth="1"/>
    <col min="10758" max="10758" width="10" style="210" customWidth="1"/>
    <col min="10759" max="10759" width="2" style="210" customWidth="1"/>
    <col min="10760" max="10760" width="20.44140625" style="210" customWidth="1"/>
    <col min="10761" max="10761" width="7.88671875" style="210" customWidth="1"/>
    <col min="10762" max="10762" width="4.44140625" style="210" customWidth="1"/>
    <col min="10763" max="10763" width="13.33203125" style="210" customWidth="1"/>
    <col min="10764" max="10764" width="11.109375" style="210" customWidth="1"/>
    <col min="10765" max="10765" width="15.44140625" style="210" customWidth="1"/>
    <col min="10766" max="11008" width="9.109375" style="210"/>
    <col min="11009" max="11009" width="7.44140625" style="210" customWidth="1"/>
    <col min="11010" max="11010" width="9.109375" style="210" customWidth="1"/>
    <col min="11011" max="11011" width="4.88671875" style="210" customWidth="1"/>
    <col min="11012" max="11012" width="7.44140625" style="210" customWidth="1"/>
    <col min="11013" max="11013" width="6.5546875" style="210" customWidth="1"/>
    <col min="11014" max="11014" width="10" style="210" customWidth="1"/>
    <col min="11015" max="11015" width="2" style="210" customWidth="1"/>
    <col min="11016" max="11016" width="20.44140625" style="210" customWidth="1"/>
    <col min="11017" max="11017" width="7.88671875" style="210" customWidth="1"/>
    <col min="11018" max="11018" width="4.44140625" style="210" customWidth="1"/>
    <col min="11019" max="11019" width="13.33203125" style="210" customWidth="1"/>
    <col min="11020" max="11020" width="11.109375" style="210" customWidth="1"/>
    <col min="11021" max="11021" width="15.44140625" style="210" customWidth="1"/>
    <col min="11022" max="11264" width="9.109375" style="210"/>
    <col min="11265" max="11265" width="7.44140625" style="210" customWidth="1"/>
    <col min="11266" max="11266" width="9.109375" style="210" customWidth="1"/>
    <col min="11267" max="11267" width="4.88671875" style="210" customWidth="1"/>
    <col min="11268" max="11268" width="7.44140625" style="210" customWidth="1"/>
    <col min="11269" max="11269" width="6.5546875" style="210" customWidth="1"/>
    <col min="11270" max="11270" width="10" style="210" customWidth="1"/>
    <col min="11271" max="11271" width="2" style="210" customWidth="1"/>
    <col min="11272" max="11272" width="20.44140625" style="210" customWidth="1"/>
    <col min="11273" max="11273" width="7.88671875" style="210" customWidth="1"/>
    <col min="11274" max="11274" width="4.44140625" style="210" customWidth="1"/>
    <col min="11275" max="11275" width="13.33203125" style="210" customWidth="1"/>
    <col min="11276" max="11276" width="11.109375" style="210" customWidth="1"/>
    <col min="11277" max="11277" width="15.44140625" style="210" customWidth="1"/>
    <col min="11278" max="11520" width="9.109375" style="210"/>
    <col min="11521" max="11521" width="7.44140625" style="210" customWidth="1"/>
    <col min="11522" max="11522" width="9.109375" style="210" customWidth="1"/>
    <col min="11523" max="11523" width="4.88671875" style="210" customWidth="1"/>
    <col min="11524" max="11524" width="7.44140625" style="210" customWidth="1"/>
    <col min="11525" max="11525" width="6.5546875" style="210" customWidth="1"/>
    <col min="11526" max="11526" width="10" style="210" customWidth="1"/>
    <col min="11527" max="11527" width="2" style="210" customWidth="1"/>
    <col min="11528" max="11528" width="20.44140625" style="210" customWidth="1"/>
    <col min="11529" max="11529" width="7.88671875" style="210" customWidth="1"/>
    <col min="11530" max="11530" width="4.44140625" style="210" customWidth="1"/>
    <col min="11531" max="11531" width="13.33203125" style="210" customWidth="1"/>
    <col min="11532" max="11532" width="11.109375" style="210" customWidth="1"/>
    <col min="11533" max="11533" width="15.44140625" style="210" customWidth="1"/>
    <col min="11534" max="11776" width="9.109375" style="210"/>
    <col min="11777" max="11777" width="7.44140625" style="210" customWidth="1"/>
    <col min="11778" max="11778" width="9.109375" style="210" customWidth="1"/>
    <col min="11779" max="11779" width="4.88671875" style="210" customWidth="1"/>
    <col min="11780" max="11780" width="7.44140625" style="210" customWidth="1"/>
    <col min="11781" max="11781" width="6.5546875" style="210" customWidth="1"/>
    <col min="11782" max="11782" width="10" style="210" customWidth="1"/>
    <col min="11783" max="11783" width="2" style="210" customWidth="1"/>
    <col min="11784" max="11784" width="20.44140625" style="210" customWidth="1"/>
    <col min="11785" max="11785" width="7.88671875" style="210" customWidth="1"/>
    <col min="11786" max="11786" width="4.44140625" style="210" customWidth="1"/>
    <col min="11787" max="11787" width="13.33203125" style="210" customWidth="1"/>
    <col min="11788" max="11788" width="11.109375" style="210" customWidth="1"/>
    <col min="11789" max="11789" width="15.44140625" style="210" customWidth="1"/>
    <col min="11790" max="12032" width="9.109375" style="210"/>
    <col min="12033" max="12033" width="7.44140625" style="210" customWidth="1"/>
    <col min="12034" max="12034" width="9.109375" style="210" customWidth="1"/>
    <col min="12035" max="12035" width="4.88671875" style="210" customWidth="1"/>
    <col min="12036" max="12036" width="7.44140625" style="210" customWidth="1"/>
    <col min="12037" max="12037" width="6.5546875" style="210" customWidth="1"/>
    <col min="12038" max="12038" width="10" style="210" customWidth="1"/>
    <col min="12039" max="12039" width="2" style="210" customWidth="1"/>
    <col min="12040" max="12040" width="20.44140625" style="210" customWidth="1"/>
    <col min="12041" max="12041" width="7.88671875" style="210" customWidth="1"/>
    <col min="12042" max="12042" width="4.44140625" style="210" customWidth="1"/>
    <col min="12043" max="12043" width="13.33203125" style="210" customWidth="1"/>
    <col min="12044" max="12044" width="11.109375" style="210" customWidth="1"/>
    <col min="12045" max="12045" width="15.44140625" style="210" customWidth="1"/>
    <col min="12046" max="12288" width="9.109375" style="210"/>
    <col min="12289" max="12289" width="7.44140625" style="210" customWidth="1"/>
    <col min="12290" max="12290" width="9.109375" style="210" customWidth="1"/>
    <col min="12291" max="12291" width="4.88671875" style="210" customWidth="1"/>
    <col min="12292" max="12292" width="7.44140625" style="210" customWidth="1"/>
    <col min="12293" max="12293" width="6.5546875" style="210" customWidth="1"/>
    <col min="12294" max="12294" width="10" style="210" customWidth="1"/>
    <col min="12295" max="12295" width="2" style="210" customWidth="1"/>
    <col min="12296" max="12296" width="20.44140625" style="210" customWidth="1"/>
    <col min="12297" max="12297" width="7.88671875" style="210" customWidth="1"/>
    <col min="12298" max="12298" width="4.44140625" style="210" customWidth="1"/>
    <col min="12299" max="12299" width="13.33203125" style="210" customWidth="1"/>
    <col min="12300" max="12300" width="11.109375" style="210" customWidth="1"/>
    <col min="12301" max="12301" width="15.44140625" style="210" customWidth="1"/>
    <col min="12302" max="12544" width="9.109375" style="210"/>
    <col min="12545" max="12545" width="7.44140625" style="210" customWidth="1"/>
    <col min="12546" max="12546" width="9.109375" style="210" customWidth="1"/>
    <col min="12547" max="12547" width="4.88671875" style="210" customWidth="1"/>
    <col min="12548" max="12548" width="7.44140625" style="210" customWidth="1"/>
    <col min="12549" max="12549" width="6.5546875" style="210" customWidth="1"/>
    <col min="12550" max="12550" width="10" style="210" customWidth="1"/>
    <col min="12551" max="12551" width="2" style="210" customWidth="1"/>
    <col min="12552" max="12552" width="20.44140625" style="210" customWidth="1"/>
    <col min="12553" max="12553" width="7.88671875" style="210" customWidth="1"/>
    <col min="12554" max="12554" width="4.44140625" style="210" customWidth="1"/>
    <col min="12555" max="12555" width="13.33203125" style="210" customWidth="1"/>
    <col min="12556" max="12556" width="11.109375" style="210" customWidth="1"/>
    <col min="12557" max="12557" width="15.44140625" style="210" customWidth="1"/>
    <col min="12558" max="12800" width="9.109375" style="210"/>
    <col min="12801" max="12801" width="7.44140625" style="210" customWidth="1"/>
    <col min="12802" max="12802" width="9.109375" style="210" customWidth="1"/>
    <col min="12803" max="12803" width="4.88671875" style="210" customWidth="1"/>
    <col min="12804" max="12804" width="7.44140625" style="210" customWidth="1"/>
    <col min="12805" max="12805" width="6.5546875" style="210" customWidth="1"/>
    <col min="12806" max="12806" width="10" style="210" customWidth="1"/>
    <col min="12807" max="12807" width="2" style="210" customWidth="1"/>
    <col min="12808" max="12808" width="20.44140625" style="210" customWidth="1"/>
    <col min="12809" max="12809" width="7.88671875" style="210" customWidth="1"/>
    <col min="12810" max="12810" width="4.44140625" style="210" customWidth="1"/>
    <col min="12811" max="12811" width="13.33203125" style="210" customWidth="1"/>
    <col min="12812" max="12812" width="11.109375" style="210" customWidth="1"/>
    <col min="12813" max="12813" width="15.44140625" style="210" customWidth="1"/>
    <col min="12814" max="13056" width="9.109375" style="210"/>
    <col min="13057" max="13057" width="7.44140625" style="210" customWidth="1"/>
    <col min="13058" max="13058" width="9.109375" style="210" customWidth="1"/>
    <col min="13059" max="13059" width="4.88671875" style="210" customWidth="1"/>
    <col min="13060" max="13060" width="7.44140625" style="210" customWidth="1"/>
    <col min="13061" max="13061" width="6.5546875" style="210" customWidth="1"/>
    <col min="13062" max="13062" width="10" style="210" customWidth="1"/>
    <col min="13063" max="13063" width="2" style="210" customWidth="1"/>
    <col min="13064" max="13064" width="20.44140625" style="210" customWidth="1"/>
    <col min="13065" max="13065" width="7.88671875" style="210" customWidth="1"/>
    <col min="13066" max="13066" width="4.44140625" style="210" customWidth="1"/>
    <col min="13067" max="13067" width="13.33203125" style="210" customWidth="1"/>
    <col min="13068" max="13068" width="11.109375" style="210" customWidth="1"/>
    <col min="13069" max="13069" width="15.44140625" style="210" customWidth="1"/>
    <col min="13070" max="13312" width="9.109375" style="210"/>
    <col min="13313" max="13313" width="7.44140625" style="210" customWidth="1"/>
    <col min="13314" max="13314" width="9.109375" style="210" customWidth="1"/>
    <col min="13315" max="13315" width="4.88671875" style="210" customWidth="1"/>
    <col min="13316" max="13316" width="7.44140625" style="210" customWidth="1"/>
    <col min="13317" max="13317" width="6.5546875" style="210" customWidth="1"/>
    <col min="13318" max="13318" width="10" style="210" customWidth="1"/>
    <col min="13319" max="13319" width="2" style="210" customWidth="1"/>
    <col min="13320" max="13320" width="20.44140625" style="210" customWidth="1"/>
    <col min="13321" max="13321" width="7.88671875" style="210" customWidth="1"/>
    <col min="13322" max="13322" width="4.44140625" style="210" customWidth="1"/>
    <col min="13323" max="13323" width="13.33203125" style="210" customWidth="1"/>
    <col min="13324" max="13324" width="11.109375" style="210" customWidth="1"/>
    <col min="13325" max="13325" width="15.44140625" style="210" customWidth="1"/>
    <col min="13326" max="13568" width="9.109375" style="210"/>
    <col min="13569" max="13569" width="7.44140625" style="210" customWidth="1"/>
    <col min="13570" max="13570" width="9.109375" style="210" customWidth="1"/>
    <col min="13571" max="13571" width="4.88671875" style="210" customWidth="1"/>
    <col min="13572" max="13572" width="7.44140625" style="210" customWidth="1"/>
    <col min="13573" max="13573" width="6.5546875" style="210" customWidth="1"/>
    <col min="13574" max="13574" width="10" style="210" customWidth="1"/>
    <col min="13575" max="13575" width="2" style="210" customWidth="1"/>
    <col min="13576" max="13576" width="20.44140625" style="210" customWidth="1"/>
    <col min="13577" max="13577" width="7.88671875" style="210" customWidth="1"/>
    <col min="13578" max="13578" width="4.44140625" style="210" customWidth="1"/>
    <col min="13579" max="13579" width="13.33203125" style="210" customWidth="1"/>
    <col min="13580" max="13580" width="11.109375" style="210" customWidth="1"/>
    <col min="13581" max="13581" width="15.44140625" style="210" customWidth="1"/>
    <col min="13582" max="13824" width="9.109375" style="210"/>
    <col min="13825" max="13825" width="7.44140625" style="210" customWidth="1"/>
    <col min="13826" max="13826" width="9.109375" style="210" customWidth="1"/>
    <col min="13827" max="13827" width="4.88671875" style="210" customWidth="1"/>
    <col min="13828" max="13828" width="7.44140625" style="210" customWidth="1"/>
    <col min="13829" max="13829" width="6.5546875" style="210" customWidth="1"/>
    <col min="13830" max="13830" width="10" style="210" customWidth="1"/>
    <col min="13831" max="13831" width="2" style="210" customWidth="1"/>
    <col min="13832" max="13832" width="20.44140625" style="210" customWidth="1"/>
    <col min="13833" max="13833" width="7.88671875" style="210" customWidth="1"/>
    <col min="13834" max="13834" width="4.44140625" style="210" customWidth="1"/>
    <col min="13835" max="13835" width="13.33203125" style="210" customWidth="1"/>
    <col min="13836" max="13836" width="11.109375" style="210" customWidth="1"/>
    <col min="13837" max="13837" width="15.44140625" style="210" customWidth="1"/>
    <col min="13838" max="14080" width="9.109375" style="210"/>
    <col min="14081" max="14081" width="7.44140625" style="210" customWidth="1"/>
    <col min="14082" max="14082" width="9.109375" style="210" customWidth="1"/>
    <col min="14083" max="14083" width="4.88671875" style="210" customWidth="1"/>
    <col min="14084" max="14084" width="7.44140625" style="210" customWidth="1"/>
    <col min="14085" max="14085" width="6.5546875" style="210" customWidth="1"/>
    <col min="14086" max="14086" width="10" style="210" customWidth="1"/>
    <col min="14087" max="14087" width="2" style="210" customWidth="1"/>
    <col min="14088" max="14088" width="20.44140625" style="210" customWidth="1"/>
    <col min="14089" max="14089" width="7.88671875" style="210" customWidth="1"/>
    <col min="14090" max="14090" width="4.44140625" style="210" customWidth="1"/>
    <col min="14091" max="14091" width="13.33203125" style="210" customWidth="1"/>
    <col min="14092" max="14092" width="11.109375" style="210" customWidth="1"/>
    <col min="14093" max="14093" width="15.44140625" style="210" customWidth="1"/>
    <col min="14094" max="14336" width="9.109375" style="210"/>
    <col min="14337" max="14337" width="7.44140625" style="210" customWidth="1"/>
    <col min="14338" max="14338" width="9.109375" style="210" customWidth="1"/>
    <col min="14339" max="14339" width="4.88671875" style="210" customWidth="1"/>
    <col min="14340" max="14340" width="7.44140625" style="210" customWidth="1"/>
    <col min="14341" max="14341" width="6.5546875" style="210" customWidth="1"/>
    <col min="14342" max="14342" width="10" style="210" customWidth="1"/>
    <col min="14343" max="14343" width="2" style="210" customWidth="1"/>
    <col min="14344" max="14344" width="20.44140625" style="210" customWidth="1"/>
    <col min="14345" max="14345" width="7.88671875" style="210" customWidth="1"/>
    <col min="14346" max="14346" width="4.44140625" style="210" customWidth="1"/>
    <col min="14347" max="14347" width="13.33203125" style="210" customWidth="1"/>
    <col min="14348" max="14348" width="11.109375" style="210" customWidth="1"/>
    <col min="14349" max="14349" width="15.44140625" style="210" customWidth="1"/>
    <col min="14350" max="14592" width="9.109375" style="210"/>
    <col min="14593" max="14593" width="7.44140625" style="210" customWidth="1"/>
    <col min="14594" max="14594" width="9.109375" style="210" customWidth="1"/>
    <col min="14595" max="14595" width="4.88671875" style="210" customWidth="1"/>
    <col min="14596" max="14596" width="7.44140625" style="210" customWidth="1"/>
    <col min="14597" max="14597" width="6.5546875" style="210" customWidth="1"/>
    <col min="14598" max="14598" width="10" style="210" customWidth="1"/>
    <col min="14599" max="14599" width="2" style="210" customWidth="1"/>
    <col min="14600" max="14600" width="20.44140625" style="210" customWidth="1"/>
    <col min="14601" max="14601" width="7.88671875" style="210" customWidth="1"/>
    <col min="14602" max="14602" width="4.44140625" style="210" customWidth="1"/>
    <col min="14603" max="14603" width="13.33203125" style="210" customWidth="1"/>
    <col min="14604" max="14604" width="11.109375" style="210" customWidth="1"/>
    <col min="14605" max="14605" width="15.44140625" style="210" customWidth="1"/>
    <col min="14606" max="14848" width="9.109375" style="210"/>
    <col min="14849" max="14849" width="7.44140625" style="210" customWidth="1"/>
    <col min="14850" max="14850" width="9.109375" style="210" customWidth="1"/>
    <col min="14851" max="14851" width="4.88671875" style="210" customWidth="1"/>
    <col min="14852" max="14852" width="7.44140625" style="210" customWidth="1"/>
    <col min="14853" max="14853" width="6.5546875" style="210" customWidth="1"/>
    <col min="14854" max="14854" width="10" style="210" customWidth="1"/>
    <col min="14855" max="14855" width="2" style="210" customWidth="1"/>
    <col min="14856" max="14856" width="20.44140625" style="210" customWidth="1"/>
    <col min="14857" max="14857" width="7.88671875" style="210" customWidth="1"/>
    <col min="14858" max="14858" width="4.44140625" style="210" customWidth="1"/>
    <col min="14859" max="14859" width="13.33203125" style="210" customWidth="1"/>
    <col min="14860" max="14860" width="11.109375" style="210" customWidth="1"/>
    <col min="14861" max="14861" width="15.44140625" style="210" customWidth="1"/>
    <col min="14862" max="15104" width="9.109375" style="210"/>
    <col min="15105" max="15105" width="7.44140625" style="210" customWidth="1"/>
    <col min="15106" max="15106" width="9.109375" style="210" customWidth="1"/>
    <col min="15107" max="15107" width="4.88671875" style="210" customWidth="1"/>
    <col min="15108" max="15108" width="7.44140625" style="210" customWidth="1"/>
    <col min="15109" max="15109" width="6.5546875" style="210" customWidth="1"/>
    <col min="15110" max="15110" width="10" style="210" customWidth="1"/>
    <col min="15111" max="15111" width="2" style="210" customWidth="1"/>
    <col min="15112" max="15112" width="20.44140625" style="210" customWidth="1"/>
    <col min="15113" max="15113" width="7.88671875" style="210" customWidth="1"/>
    <col min="15114" max="15114" width="4.44140625" style="210" customWidth="1"/>
    <col min="15115" max="15115" width="13.33203125" style="210" customWidth="1"/>
    <col min="15116" max="15116" width="11.109375" style="210" customWidth="1"/>
    <col min="15117" max="15117" width="15.44140625" style="210" customWidth="1"/>
    <col min="15118" max="15360" width="9.109375" style="210"/>
    <col min="15361" max="15361" width="7.44140625" style="210" customWidth="1"/>
    <col min="15362" max="15362" width="9.109375" style="210" customWidth="1"/>
    <col min="15363" max="15363" width="4.88671875" style="210" customWidth="1"/>
    <col min="15364" max="15364" width="7.44140625" style="210" customWidth="1"/>
    <col min="15365" max="15365" width="6.5546875" style="210" customWidth="1"/>
    <col min="15366" max="15366" width="10" style="210" customWidth="1"/>
    <col min="15367" max="15367" width="2" style="210" customWidth="1"/>
    <col min="15368" max="15368" width="20.44140625" style="210" customWidth="1"/>
    <col min="15369" max="15369" width="7.88671875" style="210" customWidth="1"/>
    <col min="15370" max="15370" width="4.44140625" style="210" customWidth="1"/>
    <col min="15371" max="15371" width="13.33203125" style="210" customWidth="1"/>
    <col min="15372" max="15372" width="11.109375" style="210" customWidth="1"/>
    <col min="15373" max="15373" width="15.44140625" style="210" customWidth="1"/>
    <col min="15374" max="15616" width="9.109375" style="210"/>
    <col min="15617" max="15617" width="7.44140625" style="210" customWidth="1"/>
    <col min="15618" max="15618" width="9.109375" style="210" customWidth="1"/>
    <col min="15619" max="15619" width="4.88671875" style="210" customWidth="1"/>
    <col min="15620" max="15620" width="7.44140625" style="210" customWidth="1"/>
    <col min="15621" max="15621" width="6.5546875" style="210" customWidth="1"/>
    <col min="15622" max="15622" width="10" style="210" customWidth="1"/>
    <col min="15623" max="15623" width="2" style="210" customWidth="1"/>
    <col min="15624" max="15624" width="20.44140625" style="210" customWidth="1"/>
    <col min="15625" max="15625" width="7.88671875" style="210" customWidth="1"/>
    <col min="15626" max="15626" width="4.44140625" style="210" customWidth="1"/>
    <col min="15627" max="15627" width="13.33203125" style="210" customWidth="1"/>
    <col min="15628" max="15628" width="11.109375" style="210" customWidth="1"/>
    <col min="15629" max="15629" width="15.44140625" style="210" customWidth="1"/>
    <col min="15630" max="15872" width="9.109375" style="210"/>
    <col min="15873" max="15873" width="7.44140625" style="210" customWidth="1"/>
    <col min="15874" max="15874" width="9.109375" style="210" customWidth="1"/>
    <col min="15875" max="15875" width="4.88671875" style="210" customWidth="1"/>
    <col min="15876" max="15876" width="7.44140625" style="210" customWidth="1"/>
    <col min="15877" max="15877" width="6.5546875" style="210" customWidth="1"/>
    <col min="15878" max="15878" width="10" style="210" customWidth="1"/>
    <col min="15879" max="15879" width="2" style="210" customWidth="1"/>
    <col min="15880" max="15880" width="20.44140625" style="210" customWidth="1"/>
    <col min="15881" max="15881" width="7.88671875" style="210" customWidth="1"/>
    <col min="15882" max="15882" width="4.44140625" style="210" customWidth="1"/>
    <col min="15883" max="15883" width="13.33203125" style="210" customWidth="1"/>
    <col min="15884" max="15884" width="11.109375" style="210" customWidth="1"/>
    <col min="15885" max="15885" width="15.44140625" style="210" customWidth="1"/>
    <col min="15886" max="16128" width="9.109375" style="210"/>
    <col min="16129" max="16129" width="7.44140625" style="210" customWidth="1"/>
    <col min="16130" max="16130" width="9.109375" style="210" customWidth="1"/>
    <col min="16131" max="16131" width="4.88671875" style="210" customWidth="1"/>
    <col min="16132" max="16132" width="7.44140625" style="210" customWidth="1"/>
    <col min="16133" max="16133" width="6.5546875" style="210" customWidth="1"/>
    <col min="16134" max="16134" width="10" style="210" customWidth="1"/>
    <col min="16135" max="16135" width="2" style="210" customWidth="1"/>
    <col min="16136" max="16136" width="20.44140625" style="210" customWidth="1"/>
    <col min="16137" max="16137" width="7.88671875" style="210" customWidth="1"/>
    <col min="16138" max="16138" width="4.44140625" style="210" customWidth="1"/>
    <col min="16139" max="16139" width="13.33203125" style="210" customWidth="1"/>
    <col min="16140" max="16140" width="11.109375" style="210" customWidth="1"/>
    <col min="16141" max="16141" width="15.44140625" style="210" customWidth="1"/>
    <col min="16142" max="16384" width="9.109375" style="210"/>
  </cols>
  <sheetData>
    <row r="1" spans="1:13" ht="27" customHeight="1">
      <c r="A1" s="209"/>
      <c r="B1" s="209"/>
      <c r="C1" s="209"/>
      <c r="D1" s="209"/>
      <c r="E1" s="209"/>
      <c r="F1" s="209"/>
      <c r="G1" s="209"/>
      <c r="H1" s="209"/>
      <c r="I1" s="209"/>
      <c r="J1" s="209"/>
      <c r="K1" s="209"/>
      <c r="L1" s="665" t="s">
        <v>200</v>
      </c>
      <c r="M1" s="665"/>
    </row>
    <row r="2" spans="1:13" ht="15" customHeight="1" thickBot="1">
      <c r="A2" s="209"/>
      <c r="B2" s="209"/>
      <c r="C2" s="209"/>
      <c r="D2" s="209"/>
      <c r="E2" s="209"/>
      <c r="F2" s="209"/>
      <c r="G2" s="209"/>
      <c r="H2" s="209"/>
      <c r="I2" s="209"/>
      <c r="J2" s="209"/>
      <c r="K2" s="209"/>
      <c r="L2" s="211"/>
      <c r="M2" s="211"/>
    </row>
    <row r="3" spans="1:13" ht="24.75" customHeight="1">
      <c r="A3" s="666"/>
      <c r="B3" s="667"/>
      <c r="C3" s="667"/>
      <c r="D3" s="667"/>
      <c r="E3" s="667"/>
      <c r="F3" s="667"/>
      <c r="G3" s="667"/>
      <c r="H3" s="667"/>
      <c r="I3" s="667"/>
      <c r="J3" s="668"/>
      <c r="K3" s="669"/>
      <c r="L3" s="670"/>
      <c r="M3" s="671"/>
    </row>
    <row r="4" spans="1:13" ht="24.75" customHeight="1">
      <c r="A4" s="672" t="s">
        <v>60</v>
      </c>
      <c r="B4" s="673"/>
      <c r="C4" s="673"/>
      <c r="D4" s="673"/>
      <c r="E4" s="673"/>
      <c r="F4" s="673"/>
      <c r="G4" s="673"/>
      <c r="H4" s="673"/>
      <c r="I4" s="673"/>
      <c r="J4" s="674"/>
      <c r="K4" s="662" t="s">
        <v>147</v>
      </c>
      <c r="L4" s="663"/>
      <c r="M4" s="664"/>
    </row>
    <row r="5" spans="1:13" ht="17.25" customHeight="1">
      <c r="A5" s="659" t="s">
        <v>1</v>
      </c>
      <c r="B5" s="660"/>
      <c r="C5" s="660"/>
      <c r="D5" s="660"/>
      <c r="E5" s="660"/>
      <c r="F5" s="660"/>
      <c r="G5" s="660"/>
      <c r="H5" s="660"/>
      <c r="I5" s="660"/>
      <c r="J5" s="661"/>
      <c r="K5" s="662" t="s">
        <v>148</v>
      </c>
      <c r="L5" s="663"/>
      <c r="M5" s="664"/>
    </row>
    <row r="6" spans="1:13" ht="17.25" customHeight="1">
      <c r="A6" s="659" t="s">
        <v>3</v>
      </c>
      <c r="B6" s="660"/>
      <c r="C6" s="660"/>
      <c r="D6" s="660"/>
      <c r="E6" s="660"/>
      <c r="F6" s="660"/>
      <c r="G6" s="660"/>
      <c r="H6" s="660"/>
      <c r="I6" s="660"/>
      <c r="J6" s="661"/>
      <c r="K6" s="662" t="s">
        <v>149</v>
      </c>
      <c r="L6" s="663"/>
      <c r="M6" s="664"/>
    </row>
    <row r="7" spans="1:13" ht="20.25" customHeight="1" thickBot="1">
      <c r="A7" s="675"/>
      <c r="B7" s="676"/>
      <c r="C7" s="676"/>
      <c r="D7" s="676"/>
      <c r="E7" s="676"/>
      <c r="F7" s="676"/>
      <c r="G7" s="676"/>
      <c r="H7" s="676"/>
      <c r="I7" s="676"/>
      <c r="J7" s="677"/>
      <c r="K7" s="678"/>
      <c r="L7" s="679"/>
      <c r="M7" s="680"/>
    </row>
    <row r="8" spans="1:13" ht="12.75" customHeight="1">
      <c r="A8" s="681" t="s">
        <v>14</v>
      </c>
      <c r="B8" s="682"/>
      <c r="C8" s="683"/>
      <c r="D8" s="687" t="str">
        <f>'DV (2)'!E11</f>
        <v>ROGER E. AMOLATO</v>
      </c>
      <c r="E8" s="688"/>
      <c r="F8" s="688"/>
      <c r="G8" s="688"/>
      <c r="H8" s="688"/>
      <c r="I8" s="688"/>
      <c r="J8" s="688"/>
      <c r="K8" s="688"/>
      <c r="L8" s="688"/>
      <c r="M8" s="689"/>
    </row>
    <row r="9" spans="1:13" ht="12.75" customHeight="1">
      <c r="A9" s="684"/>
      <c r="B9" s="685"/>
      <c r="C9" s="686"/>
      <c r="D9" s="690"/>
      <c r="E9" s="691"/>
      <c r="F9" s="691"/>
      <c r="G9" s="691"/>
      <c r="H9" s="691"/>
      <c r="I9" s="691"/>
      <c r="J9" s="691"/>
      <c r="K9" s="691"/>
      <c r="L9" s="691"/>
      <c r="M9" s="692"/>
    </row>
    <row r="10" spans="1:13" ht="12.75" customHeight="1">
      <c r="A10" s="693" t="s">
        <v>64</v>
      </c>
      <c r="B10" s="694"/>
      <c r="C10" s="695"/>
      <c r="D10" s="696" t="s">
        <v>251</v>
      </c>
      <c r="E10" s="697"/>
      <c r="F10" s="697"/>
      <c r="G10" s="697"/>
      <c r="H10" s="697"/>
      <c r="I10" s="697"/>
      <c r="J10" s="697"/>
      <c r="K10" s="697"/>
      <c r="L10" s="697"/>
      <c r="M10" s="698"/>
    </row>
    <row r="11" spans="1:13" ht="12.75" customHeight="1">
      <c r="A11" s="684"/>
      <c r="B11" s="685"/>
      <c r="C11" s="686"/>
      <c r="D11" s="699"/>
      <c r="E11" s="700"/>
      <c r="F11" s="700"/>
      <c r="G11" s="700"/>
      <c r="H11" s="700"/>
      <c r="I11" s="700"/>
      <c r="J11" s="700"/>
      <c r="K11" s="700"/>
      <c r="L11" s="700"/>
      <c r="M11" s="701"/>
    </row>
    <row r="12" spans="1:13" ht="12.75" customHeight="1">
      <c r="A12" s="693" t="s">
        <v>17</v>
      </c>
      <c r="B12" s="694"/>
      <c r="C12" s="695"/>
      <c r="D12" s="705" t="s">
        <v>18</v>
      </c>
      <c r="E12" s="706"/>
      <c r="F12" s="706"/>
      <c r="G12" s="706"/>
      <c r="H12" s="706"/>
      <c r="I12" s="706"/>
      <c r="J12" s="706"/>
      <c r="K12" s="706"/>
      <c r="L12" s="706"/>
      <c r="M12" s="707"/>
    </row>
    <row r="13" spans="1:13" ht="13.5" customHeight="1" thickBot="1">
      <c r="A13" s="702"/>
      <c r="B13" s="703"/>
      <c r="C13" s="704"/>
      <c r="D13" s="708"/>
      <c r="E13" s="679"/>
      <c r="F13" s="679"/>
      <c r="G13" s="679"/>
      <c r="H13" s="679"/>
      <c r="I13" s="679"/>
      <c r="J13" s="679"/>
      <c r="K13" s="679"/>
      <c r="L13" s="679"/>
      <c r="M13" s="680"/>
    </row>
    <row r="14" spans="1:13" ht="12.75" customHeight="1">
      <c r="A14" s="681" t="s">
        <v>20</v>
      </c>
      <c r="B14" s="682"/>
      <c r="C14" s="683"/>
      <c r="D14" s="709" t="s">
        <v>19</v>
      </c>
      <c r="E14" s="710"/>
      <c r="F14" s="710"/>
      <c r="G14" s="710"/>
      <c r="H14" s="711"/>
      <c r="I14" s="715" t="s">
        <v>21</v>
      </c>
      <c r="J14" s="716"/>
      <c r="K14" s="719" t="s">
        <v>66</v>
      </c>
      <c r="L14" s="709" t="s">
        <v>22</v>
      </c>
      <c r="M14" s="721"/>
    </row>
    <row r="15" spans="1:13" ht="37.200000000000003" customHeight="1" thickBot="1">
      <c r="A15" s="684"/>
      <c r="B15" s="685"/>
      <c r="C15" s="686"/>
      <c r="D15" s="712"/>
      <c r="E15" s="713"/>
      <c r="F15" s="713"/>
      <c r="G15" s="713"/>
      <c r="H15" s="714"/>
      <c r="I15" s="717"/>
      <c r="J15" s="718"/>
      <c r="K15" s="720"/>
      <c r="L15" s="722"/>
      <c r="M15" s="723"/>
    </row>
    <row r="16" spans="1:13" ht="12.75" customHeight="1">
      <c r="A16" s="212"/>
      <c r="B16" s="213"/>
      <c r="C16" s="214"/>
      <c r="D16" s="265">
        <v>2025</v>
      </c>
      <c r="E16" s="263"/>
      <c r="F16" s="263"/>
      <c r="G16" s="263"/>
      <c r="H16" s="263"/>
      <c r="I16" s="215"/>
      <c r="J16" s="214"/>
      <c r="K16" s="216"/>
      <c r="L16" s="732"/>
      <c r="M16" s="733"/>
    </row>
    <row r="17" spans="1:18" ht="12.75" customHeight="1">
      <c r="A17" s="734"/>
      <c r="B17" s="730"/>
      <c r="C17" s="735"/>
      <c r="D17" s="808" t="s">
        <v>250</v>
      </c>
      <c r="E17" s="809"/>
      <c r="F17" s="809"/>
      <c r="G17" s="809"/>
      <c r="H17" s="810"/>
      <c r="I17" s="739"/>
      <c r="J17" s="740"/>
      <c r="K17" s="286"/>
      <c r="L17" s="741"/>
      <c r="M17" s="742"/>
    </row>
    <row r="18" spans="1:18" ht="12.75" customHeight="1">
      <c r="A18" s="219"/>
      <c r="B18" s="220"/>
      <c r="C18" s="221"/>
      <c r="D18" s="808"/>
      <c r="E18" s="809"/>
      <c r="F18" s="809"/>
      <c r="G18" s="809"/>
      <c r="H18" s="810"/>
      <c r="I18" s="739"/>
      <c r="J18" s="740"/>
      <c r="K18" s="289"/>
      <c r="L18" s="222"/>
      <c r="M18" s="223"/>
    </row>
    <row r="19" spans="1:18" ht="12.75" customHeight="1">
      <c r="A19" s="219"/>
      <c r="B19" s="220"/>
      <c r="C19" s="221"/>
      <c r="D19" s="808"/>
      <c r="E19" s="809"/>
      <c r="F19" s="809"/>
      <c r="G19" s="809"/>
      <c r="H19" s="810"/>
      <c r="I19" s="739"/>
      <c r="J19" s="740"/>
      <c r="K19" s="286"/>
      <c r="L19" s="222"/>
      <c r="M19" s="223"/>
    </row>
    <row r="20" spans="1:18" ht="12.75" customHeight="1">
      <c r="A20" s="224"/>
      <c r="B20" s="209"/>
      <c r="C20" s="225"/>
      <c r="D20" s="808"/>
      <c r="E20" s="809"/>
      <c r="F20" s="809"/>
      <c r="G20" s="809"/>
      <c r="H20" s="810"/>
      <c r="I20" s="287"/>
      <c r="J20" s="288"/>
      <c r="K20" s="286"/>
      <c r="L20" s="743">
        <f>'DV (2)'!AE26</f>
        <v>540</v>
      </c>
      <c r="M20" s="744"/>
    </row>
    <row r="21" spans="1:18" ht="12.75" customHeight="1">
      <c r="A21" s="224"/>
      <c r="B21" s="209"/>
      <c r="C21" s="225"/>
      <c r="D21" s="808"/>
      <c r="E21" s="809"/>
      <c r="F21" s="809"/>
      <c r="G21" s="809"/>
      <c r="H21" s="810"/>
      <c r="I21" s="217"/>
      <c r="J21" s="225"/>
      <c r="K21" s="218"/>
      <c r="L21" s="745"/>
      <c r="M21" s="746"/>
    </row>
    <row r="22" spans="1:18" ht="13.8">
      <c r="A22" s="224"/>
      <c r="B22" s="209" t="s">
        <v>68</v>
      </c>
      <c r="C22" s="225"/>
      <c r="D22" s="808"/>
      <c r="E22" s="809"/>
      <c r="F22" s="809"/>
      <c r="G22" s="809"/>
      <c r="H22" s="810"/>
      <c r="I22" s="217"/>
      <c r="J22" s="225"/>
      <c r="K22" s="227"/>
      <c r="L22" s="745"/>
      <c r="M22" s="746"/>
    </row>
    <row r="23" spans="1:18" ht="13.8">
      <c r="A23" s="224"/>
      <c r="B23" s="209"/>
      <c r="C23" s="225"/>
      <c r="D23" s="808"/>
      <c r="E23" s="809"/>
      <c r="F23" s="809"/>
      <c r="G23" s="809"/>
      <c r="H23" s="810"/>
      <c r="I23" s="217"/>
      <c r="J23" s="225"/>
      <c r="K23" s="227"/>
      <c r="L23" s="745"/>
      <c r="M23" s="746"/>
    </row>
    <row r="24" spans="1:18" ht="43.5" customHeight="1">
      <c r="A24" s="224"/>
      <c r="B24" s="209"/>
      <c r="C24" s="225"/>
      <c r="D24" s="808"/>
      <c r="E24" s="809"/>
      <c r="F24" s="809"/>
      <c r="G24" s="809"/>
      <c r="H24" s="810"/>
      <c r="I24" s="217"/>
      <c r="J24" s="225"/>
      <c r="K24" s="227"/>
      <c r="L24" s="745"/>
      <c r="M24" s="746"/>
    </row>
    <row r="25" spans="1:18" ht="16.5" customHeight="1" thickBot="1">
      <c r="A25" s="228"/>
      <c r="B25" s="229"/>
      <c r="C25" s="230"/>
      <c r="D25" s="749" t="s">
        <v>70</v>
      </c>
      <c r="E25" s="750"/>
      <c r="F25" s="750"/>
      <c r="G25" s="750"/>
      <c r="H25" s="751"/>
      <c r="I25" s="231"/>
      <c r="J25" s="230"/>
      <c r="K25" s="230"/>
      <c r="L25" s="752">
        <f>L20</f>
        <v>540</v>
      </c>
      <c r="M25" s="753"/>
    </row>
    <row r="26" spans="1:18" ht="9" customHeight="1">
      <c r="A26" s="724" t="s">
        <v>26</v>
      </c>
      <c r="B26" s="232"/>
      <c r="C26" s="233"/>
      <c r="D26" s="234"/>
      <c r="E26" s="235"/>
      <c r="F26" s="235"/>
      <c r="G26" s="235"/>
      <c r="H26" s="236"/>
      <c r="I26" s="726" t="s">
        <v>30</v>
      </c>
      <c r="J26" s="237"/>
      <c r="K26" s="233"/>
      <c r="L26" s="209"/>
      <c r="M26" s="238"/>
    </row>
    <row r="27" spans="1:18" ht="14.25" customHeight="1">
      <c r="A27" s="725"/>
      <c r="B27" s="728" t="s">
        <v>37</v>
      </c>
      <c r="C27" s="729"/>
      <c r="D27" s="730" t="s">
        <v>150</v>
      </c>
      <c r="E27" s="730"/>
      <c r="F27" s="730"/>
      <c r="G27" s="730"/>
      <c r="H27" s="731"/>
      <c r="I27" s="727"/>
      <c r="J27" s="239" t="s">
        <v>151</v>
      </c>
      <c r="K27" s="209"/>
      <c r="L27" s="209"/>
      <c r="M27" s="238"/>
    </row>
    <row r="28" spans="1:18" ht="13.8">
      <c r="A28" s="240"/>
      <c r="B28" s="209" t="s">
        <v>152</v>
      </c>
      <c r="C28" s="209"/>
      <c r="D28" s="209"/>
      <c r="E28" s="209"/>
      <c r="F28" s="209"/>
      <c r="G28" s="209"/>
      <c r="H28" s="238"/>
      <c r="I28" s="224"/>
      <c r="J28" s="209" t="s">
        <v>153</v>
      </c>
      <c r="K28" s="209"/>
      <c r="L28" s="209"/>
      <c r="M28" s="238"/>
    </row>
    <row r="29" spans="1:18" ht="13.8">
      <c r="A29" s="754"/>
      <c r="B29" s="209" t="s">
        <v>154</v>
      </c>
      <c r="C29" s="209"/>
      <c r="D29" s="209"/>
      <c r="E29" s="209"/>
      <c r="F29" s="209"/>
      <c r="G29" s="209"/>
      <c r="H29" s="238"/>
      <c r="I29" s="209"/>
      <c r="J29" s="209" t="s">
        <v>77</v>
      </c>
      <c r="K29" s="209"/>
      <c r="L29" s="209"/>
      <c r="M29" s="238"/>
    </row>
    <row r="30" spans="1:18" ht="12.75" customHeight="1">
      <c r="A30" s="754"/>
      <c r="B30" s="209"/>
      <c r="C30" s="209"/>
      <c r="D30" s="209"/>
      <c r="E30" s="209"/>
      <c r="F30" s="209"/>
      <c r="G30" s="209"/>
      <c r="H30" s="238"/>
      <c r="I30" s="209"/>
      <c r="J30" s="209"/>
      <c r="K30" s="209"/>
      <c r="L30" s="209"/>
      <c r="M30" s="238"/>
    </row>
    <row r="31" spans="1:18" ht="12.75" customHeight="1">
      <c r="A31" s="241"/>
      <c r="B31" s="242"/>
      <c r="C31" s="242"/>
      <c r="D31" s="242"/>
      <c r="E31" s="242"/>
      <c r="F31" s="242"/>
      <c r="G31" s="209"/>
      <c r="H31" s="238"/>
      <c r="I31" s="209"/>
      <c r="J31" s="209"/>
      <c r="K31" s="209"/>
      <c r="L31" s="209"/>
      <c r="M31" s="238"/>
    </row>
    <row r="32" spans="1:18" ht="12.75" customHeight="1">
      <c r="A32" s="241"/>
      <c r="B32" s="209"/>
      <c r="C32" s="209"/>
      <c r="D32" s="209"/>
      <c r="E32" s="209"/>
      <c r="F32" s="209"/>
      <c r="G32" s="209"/>
      <c r="H32" s="238"/>
      <c r="I32" s="209"/>
      <c r="J32" s="209"/>
      <c r="K32" s="209"/>
      <c r="L32" s="209"/>
      <c r="M32" s="238"/>
      <c r="R32" s="226"/>
    </row>
    <row r="33" spans="1:13" ht="12.75" customHeight="1">
      <c r="A33" s="755" t="s">
        <v>78</v>
      </c>
      <c r="B33" s="756"/>
      <c r="C33" s="757" t="s">
        <v>155</v>
      </c>
      <c r="D33" s="757"/>
      <c r="E33" s="757"/>
      <c r="F33" s="757"/>
      <c r="G33" s="757"/>
      <c r="H33" s="758"/>
      <c r="I33" s="209" t="s">
        <v>79</v>
      </c>
      <c r="J33" s="209"/>
      <c r="K33" s="243" t="s">
        <v>156</v>
      </c>
      <c r="L33" s="209"/>
      <c r="M33" s="238"/>
    </row>
    <row r="34" spans="1:13" ht="13.8">
      <c r="A34" s="244"/>
      <c r="B34" s="226"/>
      <c r="C34" s="226"/>
      <c r="D34" s="226"/>
      <c r="F34" s="226"/>
      <c r="G34" s="226"/>
      <c r="H34" s="245"/>
      <c r="I34" s="209"/>
      <c r="J34" s="209"/>
      <c r="K34" s="209"/>
      <c r="L34" s="209"/>
      <c r="M34" s="238"/>
    </row>
    <row r="35" spans="1:13" ht="18" customHeight="1">
      <c r="A35" s="755" t="s">
        <v>82</v>
      </c>
      <c r="B35" s="756"/>
      <c r="C35" s="759" t="str">
        <f>'DV (2)'!A29</f>
        <v>MARK JUBEN M. PILAPIL</v>
      </c>
      <c r="D35" s="759"/>
      <c r="E35" s="759"/>
      <c r="F35" s="759"/>
      <c r="G35" s="759"/>
      <c r="H35" s="760"/>
      <c r="I35" s="285" t="s">
        <v>82</v>
      </c>
      <c r="J35" s="209"/>
      <c r="K35" s="747" t="s">
        <v>83</v>
      </c>
      <c r="L35" s="747"/>
      <c r="M35" s="748"/>
    </row>
    <row r="36" spans="1:13" ht="12.75" customHeight="1">
      <c r="A36" s="755" t="s">
        <v>84</v>
      </c>
      <c r="B36" s="756"/>
      <c r="C36" s="767" t="s">
        <v>252</v>
      </c>
      <c r="D36" s="767"/>
      <c r="E36" s="767"/>
      <c r="F36" s="767"/>
      <c r="G36" s="767"/>
      <c r="H36" s="768"/>
      <c r="I36" s="209" t="s">
        <v>84</v>
      </c>
      <c r="J36" s="209"/>
      <c r="K36" s="761" t="s">
        <v>189</v>
      </c>
      <c r="L36" s="761"/>
      <c r="M36" s="746"/>
    </row>
    <row r="37" spans="1:13" ht="28.5" customHeight="1">
      <c r="A37" s="244"/>
      <c r="B37" s="226"/>
      <c r="C37" s="756" t="s">
        <v>157</v>
      </c>
      <c r="D37" s="756"/>
      <c r="E37" s="756"/>
      <c r="F37" s="756"/>
      <c r="G37" s="756"/>
      <c r="H37" s="762"/>
      <c r="I37" s="209"/>
      <c r="J37" s="209"/>
      <c r="K37" s="660" t="s">
        <v>85</v>
      </c>
      <c r="L37" s="660"/>
      <c r="M37" s="661"/>
    </row>
    <row r="38" spans="1:13" ht="12.75" customHeight="1">
      <c r="A38" s="755" t="s">
        <v>88</v>
      </c>
      <c r="B38" s="756"/>
      <c r="C38" s="663" t="s">
        <v>158</v>
      </c>
      <c r="D38" s="663"/>
      <c r="E38" s="663"/>
      <c r="F38" s="663"/>
      <c r="G38" s="663"/>
      <c r="H38" s="664"/>
      <c r="I38" s="209" t="s">
        <v>88</v>
      </c>
      <c r="J38" s="209"/>
      <c r="K38" s="209" t="s">
        <v>89</v>
      </c>
      <c r="L38" s="209"/>
      <c r="M38" s="238"/>
    </row>
    <row r="39" spans="1:13" ht="9.75" customHeight="1" thickBot="1">
      <c r="A39" s="246"/>
      <c r="B39" s="247"/>
      <c r="C39" s="247"/>
      <c r="D39" s="247"/>
      <c r="E39" s="247"/>
      <c r="F39" s="247"/>
      <c r="G39" s="247"/>
      <c r="H39" s="248"/>
      <c r="I39" s="229"/>
      <c r="J39" s="229"/>
      <c r="K39" s="229"/>
      <c r="L39" s="229"/>
      <c r="M39" s="249"/>
    </row>
    <row r="40" spans="1:13" ht="3.75" customHeight="1" thickBot="1">
      <c r="A40" s="250"/>
      <c r="B40" s="251"/>
      <c r="C40" s="233"/>
      <c r="D40" s="233"/>
      <c r="E40" s="233"/>
      <c r="F40" s="233"/>
      <c r="G40" s="233"/>
      <c r="H40" s="233"/>
      <c r="I40" s="233"/>
      <c r="J40" s="233"/>
      <c r="K40" s="233"/>
      <c r="L40" s="233"/>
      <c r="M40" s="252"/>
    </row>
    <row r="41" spans="1:13" ht="14.4" thickBot="1">
      <c r="A41" s="253" t="s">
        <v>36</v>
      </c>
      <c r="B41" s="763" t="s">
        <v>159</v>
      </c>
      <c r="C41" s="764"/>
      <c r="D41" s="764"/>
      <c r="E41" s="764"/>
      <c r="F41" s="764"/>
      <c r="G41" s="764"/>
      <c r="H41" s="764"/>
      <c r="I41" s="764"/>
      <c r="J41" s="764"/>
      <c r="K41" s="764"/>
      <c r="L41" s="764"/>
      <c r="M41" s="765"/>
    </row>
    <row r="42" spans="1:13" ht="13.5" customHeight="1" thickBot="1">
      <c r="A42" s="766" t="s">
        <v>91</v>
      </c>
      <c r="B42" s="764"/>
      <c r="C42" s="764"/>
      <c r="D42" s="764"/>
      <c r="E42" s="764"/>
      <c r="F42" s="764"/>
      <c r="G42" s="765"/>
      <c r="H42" s="766" t="s">
        <v>22</v>
      </c>
      <c r="I42" s="764"/>
      <c r="J42" s="764"/>
      <c r="K42" s="764"/>
      <c r="L42" s="764"/>
      <c r="M42" s="765"/>
    </row>
    <row r="43" spans="1:13" ht="13.5" customHeight="1">
      <c r="A43" s="791" t="s">
        <v>50</v>
      </c>
      <c r="B43" s="793" t="s">
        <v>19</v>
      </c>
      <c r="C43" s="794"/>
      <c r="D43" s="794"/>
      <c r="E43" s="797" t="s">
        <v>92</v>
      </c>
      <c r="F43" s="798"/>
      <c r="G43" s="799"/>
      <c r="H43" s="806" t="s">
        <v>93</v>
      </c>
      <c r="I43" s="807" t="s">
        <v>94</v>
      </c>
      <c r="J43" s="806"/>
      <c r="K43" s="769" t="s">
        <v>95</v>
      </c>
      <c r="L43" s="770" t="s">
        <v>96</v>
      </c>
      <c r="M43" s="771"/>
    </row>
    <row r="44" spans="1:13" ht="26.25" customHeight="1">
      <c r="A44" s="791"/>
      <c r="B44" s="793"/>
      <c r="C44" s="794"/>
      <c r="D44" s="794"/>
      <c r="E44" s="800"/>
      <c r="F44" s="801"/>
      <c r="G44" s="802"/>
      <c r="H44" s="806"/>
      <c r="I44" s="807"/>
      <c r="J44" s="806"/>
      <c r="K44" s="769"/>
      <c r="L44" s="291" t="s">
        <v>97</v>
      </c>
      <c r="M44" s="254" t="s">
        <v>98</v>
      </c>
    </row>
    <row r="45" spans="1:13" ht="15.6" customHeight="1">
      <c r="A45" s="792"/>
      <c r="B45" s="795"/>
      <c r="C45" s="796"/>
      <c r="D45" s="796"/>
      <c r="E45" s="803"/>
      <c r="F45" s="804"/>
      <c r="G45" s="805"/>
      <c r="H45" s="358" t="s">
        <v>99</v>
      </c>
      <c r="I45" s="772" t="s">
        <v>100</v>
      </c>
      <c r="J45" s="773"/>
      <c r="K45" s="255" t="s">
        <v>101</v>
      </c>
      <c r="L45" s="255" t="s">
        <v>102</v>
      </c>
      <c r="M45" s="256" t="s">
        <v>103</v>
      </c>
    </row>
    <row r="46" spans="1:13" ht="13.5" customHeight="1">
      <c r="A46" s="774" t="s">
        <v>228</v>
      </c>
      <c r="B46" s="777" t="str">
        <f>D17</f>
        <v>Reimbursement of the travelling expenses to deposit payments for the registration of the 27th PSITE National Convention on February 24, 2025, in China Bank, Tagbilaran City, and  to submit pertinent documents for the Educational Tour for BSCS in BISU - Main Campus, Tagbilaran City, on April 21, 2025</v>
      </c>
      <c r="C46" s="778"/>
      <c r="D46" s="779"/>
      <c r="E46" s="266"/>
      <c r="F46" s="267"/>
      <c r="G46" s="268"/>
      <c r="H46" s="269"/>
      <c r="I46" s="262"/>
      <c r="J46" s="270"/>
      <c r="K46" s="271"/>
      <c r="L46" s="272"/>
      <c r="M46" s="273"/>
    </row>
    <row r="47" spans="1:13" ht="13.5" customHeight="1">
      <c r="A47" s="775"/>
      <c r="B47" s="780"/>
      <c r="C47" s="781"/>
      <c r="D47" s="782"/>
      <c r="E47" s="266"/>
      <c r="F47" s="267"/>
      <c r="G47" s="268"/>
      <c r="H47" s="271"/>
      <c r="I47" s="274"/>
      <c r="J47" s="275"/>
      <c r="K47" s="269"/>
      <c r="L47" s="269"/>
      <c r="M47" s="276"/>
    </row>
    <row r="48" spans="1:13" ht="16.2" customHeight="1">
      <c r="A48" s="775"/>
      <c r="B48" s="780"/>
      <c r="C48" s="781"/>
      <c r="D48" s="782"/>
      <c r="E48" s="786"/>
      <c r="F48" s="787"/>
      <c r="G48" s="788"/>
      <c r="H48" s="284">
        <f>L25</f>
        <v>540</v>
      </c>
      <c r="I48" s="789"/>
      <c r="J48" s="790"/>
      <c r="K48" s="277">
        <f>H48</f>
        <v>540</v>
      </c>
      <c r="L48" s="269"/>
      <c r="M48" s="278">
        <f>K48</f>
        <v>540</v>
      </c>
    </row>
    <row r="49" spans="1:13" ht="16.2" customHeight="1">
      <c r="A49" s="775"/>
      <c r="B49" s="780"/>
      <c r="C49" s="781"/>
      <c r="D49" s="782"/>
      <c r="E49" s="309"/>
      <c r="F49" s="310"/>
      <c r="G49" s="311"/>
      <c r="H49" s="284"/>
      <c r="I49" s="312"/>
      <c r="J49" s="313"/>
      <c r="K49" s="277"/>
      <c r="L49" s="269"/>
      <c r="M49" s="319"/>
    </row>
    <row r="50" spans="1:13" ht="25.2" customHeight="1">
      <c r="A50" s="775"/>
      <c r="B50" s="780"/>
      <c r="C50" s="781"/>
      <c r="D50" s="782"/>
      <c r="E50" s="266"/>
      <c r="F50" s="267"/>
      <c r="G50" s="268"/>
      <c r="H50" s="271"/>
      <c r="I50" s="274"/>
      <c r="J50" s="275"/>
      <c r="K50" s="269"/>
      <c r="L50" s="277"/>
      <c r="M50" s="276"/>
    </row>
    <row r="51" spans="1:13" ht="13.5" customHeight="1">
      <c r="A51" s="775"/>
      <c r="B51" s="780"/>
      <c r="C51" s="781"/>
      <c r="D51" s="782"/>
      <c r="E51" s="262"/>
      <c r="F51" s="267"/>
      <c r="G51" s="268"/>
      <c r="H51" s="271"/>
      <c r="I51" s="262"/>
      <c r="J51" s="268"/>
      <c r="K51" s="271"/>
      <c r="L51" s="271"/>
      <c r="M51" s="279"/>
    </row>
    <row r="52" spans="1:13" ht="13.5" customHeight="1">
      <c r="A52" s="775"/>
      <c r="B52" s="780"/>
      <c r="C52" s="781"/>
      <c r="D52" s="782"/>
      <c r="E52" s="262"/>
      <c r="F52" s="267"/>
      <c r="G52" s="268"/>
      <c r="H52" s="271"/>
      <c r="I52" s="262"/>
      <c r="J52" s="268"/>
      <c r="K52" s="271"/>
      <c r="L52" s="271"/>
      <c r="M52" s="279"/>
    </row>
    <row r="53" spans="1:13" ht="8.4" customHeight="1">
      <c r="A53" s="775"/>
      <c r="B53" s="780"/>
      <c r="C53" s="781"/>
      <c r="D53" s="782"/>
      <c r="E53" s="217"/>
      <c r="F53" s="209"/>
      <c r="G53" s="225"/>
      <c r="H53" s="218"/>
      <c r="I53" s="217"/>
      <c r="J53" s="225"/>
      <c r="K53" s="218"/>
      <c r="L53" s="218"/>
      <c r="M53" s="238"/>
    </row>
    <row r="54" spans="1:13" ht="8.4" customHeight="1">
      <c r="A54" s="775"/>
      <c r="B54" s="780"/>
      <c r="C54" s="781"/>
      <c r="D54" s="782"/>
      <c r="E54" s="217"/>
      <c r="F54" s="209"/>
      <c r="G54" s="225"/>
      <c r="H54" s="218"/>
      <c r="I54" s="217"/>
      <c r="J54" s="225"/>
      <c r="K54" s="218"/>
      <c r="L54" s="218"/>
      <c r="M54" s="238"/>
    </row>
    <row r="55" spans="1:13" ht="58.2" customHeight="1" thickBot="1">
      <c r="A55" s="776"/>
      <c r="B55" s="783"/>
      <c r="C55" s="784"/>
      <c r="D55" s="785"/>
      <c r="E55" s="257"/>
      <c r="F55" s="258"/>
      <c r="G55" s="259"/>
      <c r="H55" s="260"/>
      <c r="I55" s="257"/>
      <c r="J55" s="259"/>
      <c r="K55" s="260"/>
      <c r="L55" s="260"/>
      <c r="M55" s="261"/>
    </row>
    <row r="56" spans="1:13" ht="13.8">
      <c r="A56" s="209"/>
      <c r="B56" s="209"/>
      <c r="C56" s="209"/>
      <c r="D56" s="209"/>
      <c r="E56" s="209"/>
      <c r="F56" s="209"/>
      <c r="G56" s="209"/>
      <c r="H56" s="209"/>
      <c r="I56" s="209"/>
      <c r="J56" s="209"/>
      <c r="K56" s="209"/>
      <c r="L56" s="209"/>
      <c r="M56" s="209"/>
    </row>
  </sheetData>
  <mergeCells count="68">
    <mergeCell ref="A46:A55"/>
    <mergeCell ref="B46:D55"/>
    <mergeCell ref="E48:G48"/>
    <mergeCell ref="I48:J48"/>
    <mergeCell ref="B43:D45"/>
    <mergeCell ref="E43:G45"/>
    <mergeCell ref="K36:M36"/>
    <mergeCell ref="C37:H37"/>
    <mergeCell ref="K37:M37"/>
    <mergeCell ref="I45:J45"/>
    <mergeCell ref="A38:B38"/>
    <mergeCell ref="C38:H38"/>
    <mergeCell ref="A36:B36"/>
    <mergeCell ref="C36:H36"/>
    <mergeCell ref="H43:H44"/>
    <mergeCell ref="I43:J44"/>
    <mergeCell ref="B41:M41"/>
    <mergeCell ref="A42:G42"/>
    <mergeCell ref="H42:M42"/>
    <mergeCell ref="A43:A45"/>
    <mergeCell ref="K43:K44"/>
    <mergeCell ref="L43:M43"/>
    <mergeCell ref="K35:M35"/>
    <mergeCell ref="A26:A27"/>
    <mergeCell ref="I26:I27"/>
    <mergeCell ref="B27:C27"/>
    <mergeCell ref="D27:H27"/>
    <mergeCell ref="A29:A30"/>
    <mergeCell ref="A33:B33"/>
    <mergeCell ref="C33:H33"/>
    <mergeCell ref="A35:B35"/>
    <mergeCell ref="C35:H35"/>
    <mergeCell ref="L22:M22"/>
    <mergeCell ref="L23:M23"/>
    <mergeCell ref="L24:M24"/>
    <mergeCell ref="D25:H25"/>
    <mergeCell ref="L25:M25"/>
    <mergeCell ref="D17:H24"/>
    <mergeCell ref="I19:J19"/>
    <mergeCell ref="A10:C11"/>
    <mergeCell ref="D10:M11"/>
    <mergeCell ref="A12:C13"/>
    <mergeCell ref="D12:M13"/>
    <mergeCell ref="A14:C15"/>
    <mergeCell ref="D14:H15"/>
    <mergeCell ref="I14:J15"/>
    <mergeCell ref="K14:K15"/>
    <mergeCell ref="L14:M15"/>
    <mergeCell ref="A5:J5"/>
    <mergeCell ref="K5:M5"/>
    <mergeCell ref="L1:M1"/>
    <mergeCell ref="A3:J3"/>
    <mergeCell ref="K3:M3"/>
    <mergeCell ref="A4:J4"/>
    <mergeCell ref="K4:M4"/>
    <mergeCell ref="A6:J6"/>
    <mergeCell ref="K6:M6"/>
    <mergeCell ref="A7:J7"/>
    <mergeCell ref="K7:M7"/>
    <mergeCell ref="A8:C9"/>
    <mergeCell ref="D8:M9"/>
    <mergeCell ref="L16:M16"/>
    <mergeCell ref="A17:C17"/>
    <mergeCell ref="L17:M17"/>
    <mergeCell ref="L20:M20"/>
    <mergeCell ref="L21:M21"/>
    <mergeCell ref="I17:J17"/>
    <mergeCell ref="I18:J18"/>
  </mergeCells>
  <printOptions horizontalCentered="1"/>
  <pageMargins left="0.25" right="0.25" top="0.75" bottom="0.75" header="0.3" footer="0.3"/>
  <pageSetup paperSize="9" scale="77" orientation="portrait" horizontalDpi="360" verticalDpi="360" r:id="rId1"/>
  <headerFooter alignWithMargins="0">
    <oddFooter>&amp;C&amp;"Times New Roman,Regular"&amp;14 48</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R49"/>
  <sheetViews>
    <sheetView showWhiteSpace="0" topLeftCell="A19" zoomScaleNormal="55" zoomScaleSheetLayoutView="140" workbookViewId="0">
      <selection activeCell="A44" sqref="A44:D44"/>
    </sheetView>
  </sheetViews>
  <sheetFormatPr defaultRowHeight="13.2"/>
  <cols>
    <col min="1" max="1" width="11.5546875" style="119" customWidth="1"/>
    <col min="2" max="2" width="9.88671875" customWidth="1"/>
    <col min="3" max="3" width="11" customWidth="1"/>
    <col min="4" max="4" width="9.109375" customWidth="1"/>
    <col min="5" max="5" width="8.88671875" customWidth="1"/>
    <col min="6" max="6" width="16.5546875" customWidth="1"/>
    <col min="7" max="7" width="9.5546875" style="120" customWidth="1"/>
    <col min="8" max="8" width="8.6640625" style="120" customWidth="1"/>
    <col min="9" max="9" width="8" style="120" customWidth="1"/>
    <col min="10" max="10" width="9.5546875" style="120" customWidth="1"/>
    <col min="12" max="12" width="12.88671875" bestFit="1" customWidth="1"/>
  </cols>
  <sheetData>
    <row r="1" spans="1:15" ht="21.75" customHeight="1">
      <c r="H1" s="424" t="s">
        <v>104</v>
      </c>
      <c r="I1" s="424"/>
      <c r="J1" s="424"/>
    </row>
    <row r="2" spans="1:15" ht="13.8">
      <c r="A2" s="388"/>
      <c r="B2" s="388"/>
      <c r="C2" s="388"/>
      <c r="D2" s="388"/>
      <c r="E2" s="388"/>
      <c r="F2" s="388"/>
      <c r="G2" s="388"/>
      <c r="H2" s="388"/>
      <c r="I2" s="388"/>
      <c r="J2" s="388"/>
    </row>
    <row r="3" spans="1:15" ht="17.399999999999999">
      <c r="A3" s="425" t="s">
        <v>105</v>
      </c>
      <c r="B3" s="425"/>
      <c r="C3" s="425"/>
      <c r="D3" s="425"/>
      <c r="E3" s="425"/>
      <c r="F3" s="425"/>
      <c r="G3" s="425"/>
      <c r="H3" s="425"/>
      <c r="I3" s="425"/>
      <c r="J3" s="425"/>
    </row>
    <row r="4" spans="1:15" ht="17.399999999999999">
      <c r="A4" s="121"/>
      <c r="B4" s="122"/>
      <c r="C4" s="122"/>
      <c r="D4" s="122"/>
      <c r="E4" s="122"/>
      <c r="F4" s="122"/>
      <c r="G4" s="122"/>
      <c r="H4" s="122"/>
      <c r="I4" s="122"/>
      <c r="J4" s="122"/>
    </row>
    <row r="5" spans="1:15" ht="13.8">
      <c r="A5" s="123"/>
      <c r="B5" s="124"/>
      <c r="C5" s="124"/>
      <c r="D5" s="124"/>
      <c r="E5" s="124"/>
      <c r="F5" s="124"/>
      <c r="G5" s="124"/>
      <c r="H5" s="124"/>
      <c r="I5" s="124"/>
      <c r="J5" s="124"/>
    </row>
    <row r="6" spans="1:15" ht="15.75" customHeight="1">
      <c r="A6" s="125" t="s">
        <v>106</v>
      </c>
      <c r="B6" s="124"/>
      <c r="C6" s="124"/>
      <c r="D6" s="124"/>
      <c r="E6" s="124"/>
      <c r="F6" s="126"/>
      <c r="G6" s="124"/>
      <c r="H6" s="124"/>
      <c r="I6" s="124"/>
      <c r="J6" s="124"/>
    </row>
    <row r="7" spans="1:15" ht="15.75" customHeight="1">
      <c r="A7" s="125" t="s">
        <v>107</v>
      </c>
      <c r="B7" s="124"/>
      <c r="C7" s="124"/>
      <c r="D7" s="124"/>
      <c r="E7" s="124"/>
      <c r="F7" s="126"/>
      <c r="G7" s="124"/>
      <c r="H7" s="426" t="s">
        <v>108</v>
      </c>
      <c r="I7" s="426"/>
      <c r="J7" s="426"/>
    </row>
    <row r="8" spans="1:15" ht="6.75" customHeight="1" thickBot="1">
      <c r="A8" s="123"/>
      <c r="B8" s="124"/>
      <c r="C8" s="124"/>
      <c r="D8" s="124"/>
      <c r="E8" s="124"/>
      <c r="F8" s="124"/>
      <c r="G8" s="294"/>
      <c r="H8" s="294"/>
      <c r="I8" s="294"/>
      <c r="J8" s="294"/>
    </row>
    <row r="9" spans="1:15" ht="15.75" customHeight="1">
      <c r="A9" s="127" t="s">
        <v>109</v>
      </c>
      <c r="B9" s="427" t="str">
        <f>ORS!D6</f>
        <v>ROGER E. AMOLATO</v>
      </c>
      <c r="C9" s="427"/>
      <c r="D9" s="427"/>
      <c r="E9" s="428"/>
      <c r="F9" s="127" t="s">
        <v>110</v>
      </c>
      <c r="G9" s="430" t="str">
        <f>Source!A6</f>
        <v>November 14-15, 18 and 22-23, 2022</v>
      </c>
      <c r="H9" s="430"/>
      <c r="I9" s="430"/>
      <c r="J9" s="431"/>
    </row>
    <row r="10" spans="1:15" ht="15.75" customHeight="1">
      <c r="A10" s="128" t="s">
        <v>111</v>
      </c>
      <c r="B10" s="434" t="str">
        <f>Source!A2</f>
        <v>Instructor I - Temporary</v>
      </c>
      <c r="C10" s="434"/>
      <c r="D10" s="434"/>
      <c r="E10" s="435"/>
      <c r="F10" s="128" t="s">
        <v>112</v>
      </c>
      <c r="G10" s="432"/>
      <c r="H10" s="432"/>
      <c r="I10" s="432"/>
      <c r="J10" s="433"/>
    </row>
    <row r="11" spans="1:15" ht="15.75" customHeight="1">
      <c r="A11" s="811" t="str">
        <f>CONCATENATE("Official Station: ",Source!A3)</f>
        <v xml:space="preserve">Official Station: </v>
      </c>
      <c r="B11" s="812"/>
      <c r="C11" s="812"/>
      <c r="D11" s="812"/>
      <c r="E11" s="813"/>
      <c r="G11" s="432"/>
      <c r="H11" s="432"/>
      <c r="I11" s="432"/>
      <c r="J11" s="433"/>
    </row>
    <row r="12" spans="1:15" ht="15.75" customHeight="1">
      <c r="A12" s="129"/>
      <c r="B12" s="126"/>
      <c r="C12" s="126"/>
      <c r="D12" s="126"/>
      <c r="E12" s="126"/>
      <c r="F12" s="401" t="s">
        <v>112</v>
      </c>
      <c r="G12" s="402"/>
      <c r="H12" s="402"/>
      <c r="I12" s="402"/>
      <c r="J12" s="403"/>
    </row>
    <row r="13" spans="1:15" ht="15.75" customHeight="1">
      <c r="A13" s="129"/>
      <c r="B13" s="126"/>
      <c r="C13" s="126"/>
      <c r="D13" s="126"/>
      <c r="E13" s="126"/>
      <c r="F13" s="404" t="str">
        <f>CONCATENATE(Source!A7, " at ",Source!A8,)</f>
        <v>to attend and participate the Crafting of University Land Use Development and Infrastructure Plan and attend University BAC Meeting at JJs Seafood and Restaurant and BISU Main Campus respectively</v>
      </c>
      <c r="G13" s="405"/>
      <c r="H13" s="405"/>
      <c r="I13" s="405"/>
      <c r="J13" s="406"/>
    </row>
    <row r="14" spans="1:15" ht="22.5" customHeight="1">
      <c r="A14" s="129"/>
      <c r="B14" s="126"/>
      <c r="C14" s="126"/>
      <c r="D14" s="126"/>
      <c r="E14" s="126"/>
      <c r="F14" s="404"/>
      <c r="G14" s="405"/>
      <c r="H14" s="405"/>
      <c r="I14" s="405"/>
      <c r="J14" s="406"/>
      <c r="O14">
        <f>180*3</f>
        <v>540</v>
      </c>
    </row>
    <row r="15" spans="1:15" ht="13.5" customHeight="1" thickBot="1">
      <c r="A15" s="130"/>
      <c r="B15" s="131"/>
      <c r="C15" s="131"/>
      <c r="D15" s="131"/>
      <c r="E15" s="131"/>
      <c r="F15" s="407"/>
      <c r="G15" s="408"/>
      <c r="H15" s="408"/>
      <c r="I15" s="408"/>
      <c r="J15" s="409"/>
      <c r="L15" s="132"/>
    </row>
    <row r="16" spans="1:15" ht="4.2" customHeight="1" thickBot="1">
      <c r="A16" s="154"/>
      <c r="B16" s="5"/>
      <c r="C16" s="5"/>
      <c r="D16" s="131"/>
      <c r="E16" s="131"/>
      <c r="F16" s="5"/>
      <c r="G16" s="5"/>
      <c r="H16" s="5"/>
      <c r="I16" s="5"/>
      <c r="J16" s="4"/>
      <c r="L16" s="132"/>
    </row>
    <row r="17" spans="1:18" s="136" customFormat="1" ht="15.75" customHeight="1" thickBot="1">
      <c r="A17" s="410" t="s">
        <v>50</v>
      </c>
      <c r="B17" s="412" t="s">
        <v>113</v>
      </c>
      <c r="C17" s="413"/>
      <c r="D17" s="414" t="s">
        <v>114</v>
      </c>
      <c r="E17" s="415"/>
      <c r="F17" s="134" t="s">
        <v>115</v>
      </c>
      <c r="G17" s="416" t="s">
        <v>116</v>
      </c>
      <c r="H17" s="135" t="s">
        <v>117</v>
      </c>
      <c r="I17" s="418" t="s">
        <v>118</v>
      </c>
      <c r="J17" s="420" t="s">
        <v>119</v>
      </c>
    </row>
    <row r="18" spans="1:18" s="136" customFormat="1" ht="14.4" thickBot="1">
      <c r="A18" s="411"/>
      <c r="B18" s="422" t="s">
        <v>120</v>
      </c>
      <c r="C18" s="423"/>
      <c r="D18" s="137" t="s">
        <v>121</v>
      </c>
      <c r="E18" s="137" t="s">
        <v>122</v>
      </c>
      <c r="F18" s="138" t="s">
        <v>123</v>
      </c>
      <c r="G18" s="417"/>
      <c r="H18" s="139" t="s">
        <v>124</v>
      </c>
      <c r="I18" s="419"/>
      <c r="J18" s="421"/>
      <c r="L18" s="140"/>
    </row>
    <row r="19" spans="1:18">
      <c r="A19" s="823" t="s">
        <v>207</v>
      </c>
      <c r="B19" s="149" t="s">
        <v>208</v>
      </c>
      <c r="C19" s="150"/>
      <c r="D19" s="141">
        <v>0.25</v>
      </c>
      <c r="E19" s="141">
        <v>0.33333333333333331</v>
      </c>
      <c r="F19" s="142" t="s">
        <v>160</v>
      </c>
      <c r="G19" s="143">
        <v>180</v>
      </c>
      <c r="H19" s="144">
        <f>1800-180</f>
        <v>1620</v>
      </c>
      <c r="I19" s="145"/>
      <c r="J19" s="146">
        <f t="shared" ref="J19:J32" si="0">G19+H19+I19</f>
        <v>1800</v>
      </c>
      <c r="K19" t="s">
        <v>223</v>
      </c>
      <c r="L19" s="132"/>
      <c r="N19" t="s">
        <v>202</v>
      </c>
      <c r="O19" t="s">
        <v>205</v>
      </c>
      <c r="P19" t="s">
        <v>203</v>
      </c>
      <c r="Q19" t="s">
        <v>205</v>
      </c>
      <c r="R19" t="s">
        <v>204</v>
      </c>
    </row>
    <row r="20" spans="1:18" ht="13.2" customHeight="1">
      <c r="A20" s="824"/>
      <c r="B20" s="149" t="s">
        <v>209</v>
      </c>
      <c r="C20" s="150"/>
      <c r="D20" s="141"/>
      <c r="E20" s="141"/>
      <c r="F20" s="142"/>
      <c r="G20" s="143"/>
      <c r="H20" s="144"/>
      <c r="I20" s="145"/>
      <c r="J20" s="146"/>
      <c r="L20" s="132"/>
      <c r="N20">
        <v>180</v>
      </c>
      <c r="O20">
        <v>180</v>
      </c>
      <c r="Q20">
        <v>180</v>
      </c>
      <c r="R20">
        <v>180</v>
      </c>
    </row>
    <row r="21" spans="1:18">
      <c r="A21" s="307"/>
      <c r="B21" s="825" t="s">
        <v>201</v>
      </c>
      <c r="C21" s="826"/>
      <c r="D21" s="141">
        <v>0.35416666666666669</v>
      </c>
      <c r="E21" s="141">
        <v>0.70833333333333337</v>
      </c>
      <c r="F21" s="142"/>
      <c r="G21" s="143"/>
      <c r="H21" s="144"/>
      <c r="I21" s="145"/>
      <c r="J21" s="146"/>
      <c r="L21" s="132"/>
      <c r="M21">
        <v>180</v>
      </c>
    </row>
    <row r="22" spans="1:18" ht="23.4" customHeight="1">
      <c r="A22" s="827" t="s">
        <v>211</v>
      </c>
      <c r="B22" s="825"/>
      <c r="C22" s="826"/>
      <c r="D22" s="141">
        <v>0.33333333333333331</v>
      </c>
      <c r="E22" s="141">
        <v>0.70833333333333337</v>
      </c>
      <c r="F22" s="299"/>
      <c r="G22" s="143"/>
      <c r="H22" s="144">
        <f>1800-180-900</f>
        <v>720</v>
      </c>
      <c r="I22" s="145"/>
      <c r="J22" s="146">
        <f t="shared" si="0"/>
        <v>720</v>
      </c>
      <c r="K22" t="s">
        <v>223</v>
      </c>
      <c r="L22" s="132">
        <f>720-180</f>
        <v>540</v>
      </c>
      <c r="M22">
        <v>180</v>
      </c>
    </row>
    <row r="23" spans="1:18" ht="13.8" customHeight="1">
      <c r="A23" s="827"/>
      <c r="B23" s="819" t="s">
        <v>210</v>
      </c>
      <c r="C23" s="820"/>
      <c r="D23" s="141">
        <v>0.72916666666666663</v>
      </c>
      <c r="E23" s="141">
        <v>0.8125</v>
      </c>
      <c r="F23" s="299" t="s">
        <v>190</v>
      </c>
      <c r="G23" s="143"/>
      <c r="H23" s="144"/>
      <c r="I23" s="145"/>
      <c r="J23" s="146"/>
      <c r="L23" s="132"/>
      <c r="M23">
        <f>720/180</f>
        <v>4</v>
      </c>
    </row>
    <row r="24" spans="1:18">
      <c r="A24" s="827"/>
      <c r="B24" s="819"/>
      <c r="C24" s="820"/>
      <c r="D24" s="141"/>
      <c r="E24" s="141"/>
      <c r="F24" s="142"/>
      <c r="G24" s="143"/>
      <c r="H24" s="144"/>
      <c r="I24" s="145"/>
      <c r="J24" s="146"/>
      <c r="L24" s="132"/>
    </row>
    <row r="25" spans="1:18">
      <c r="A25" s="828" t="s">
        <v>212</v>
      </c>
      <c r="B25" s="814" t="s">
        <v>216</v>
      </c>
      <c r="C25" s="815"/>
      <c r="D25" s="141">
        <v>0.36458333333333331</v>
      </c>
      <c r="E25" s="141">
        <v>0.44791666666666669</v>
      </c>
      <c r="F25" s="142" t="s">
        <v>190</v>
      </c>
      <c r="G25" s="143"/>
      <c r="H25" s="144">
        <v>720</v>
      </c>
      <c r="I25" s="144"/>
      <c r="J25" s="146">
        <f>SUM(G25:H25)</f>
        <v>720</v>
      </c>
      <c r="K25" t="s">
        <v>224</v>
      </c>
      <c r="M25">
        <v>900</v>
      </c>
      <c r="N25">
        <v>180</v>
      </c>
      <c r="O25">
        <v>180</v>
      </c>
      <c r="P25">
        <v>180</v>
      </c>
      <c r="Q25">
        <v>180</v>
      </c>
      <c r="R25">
        <v>180</v>
      </c>
    </row>
    <row r="26" spans="1:18" ht="13.8" customHeight="1">
      <c r="A26" s="828"/>
      <c r="B26" s="300" t="s">
        <v>217</v>
      </c>
      <c r="D26" s="141">
        <v>0.44791666666666669</v>
      </c>
      <c r="E26" s="141">
        <v>0.70833333333333337</v>
      </c>
      <c r="F26" s="142"/>
      <c r="G26" s="145"/>
      <c r="H26" s="144"/>
      <c r="I26" s="144"/>
      <c r="J26" s="146"/>
    </row>
    <row r="27" spans="1:18" ht="13.8" customHeight="1">
      <c r="A27" s="308"/>
      <c r="B27" s="300" t="s">
        <v>218</v>
      </c>
      <c r="D27" s="141">
        <v>0.72916666666666663</v>
      </c>
      <c r="E27" s="141">
        <v>0.8125</v>
      </c>
      <c r="F27" s="142" t="s">
        <v>190</v>
      </c>
      <c r="G27" s="145"/>
      <c r="H27" s="144"/>
      <c r="I27" s="144"/>
      <c r="J27" s="146"/>
    </row>
    <row r="28" spans="1:18">
      <c r="A28" s="399" t="s">
        <v>219</v>
      </c>
      <c r="B28" s="817" t="s">
        <v>220</v>
      </c>
      <c r="C28" s="818"/>
      <c r="D28" s="301">
        <v>0.25</v>
      </c>
      <c r="E28" s="301">
        <v>0.41666666666666669</v>
      </c>
      <c r="F28" s="302" t="s">
        <v>190</v>
      </c>
      <c r="G28" s="303"/>
      <c r="H28" s="303">
        <v>1620</v>
      </c>
      <c r="I28" s="303"/>
      <c r="J28" s="304">
        <f t="shared" si="0"/>
        <v>1620</v>
      </c>
      <c r="K28" t="s">
        <v>223</v>
      </c>
      <c r="M28">
        <f>540+900</f>
        <v>1440</v>
      </c>
    </row>
    <row r="29" spans="1:18">
      <c r="A29" s="399"/>
      <c r="B29" s="305" t="s">
        <v>209</v>
      </c>
      <c r="C29" s="306"/>
      <c r="D29" s="301"/>
      <c r="E29" s="301"/>
      <c r="F29" s="302"/>
      <c r="G29" s="303"/>
      <c r="H29" s="303"/>
      <c r="I29" s="303"/>
      <c r="J29" s="304"/>
    </row>
    <row r="30" spans="1:18">
      <c r="A30" s="399"/>
      <c r="B30" s="149" t="s">
        <v>201</v>
      </c>
      <c r="C30" s="150"/>
      <c r="D30" s="141">
        <v>0.375</v>
      </c>
      <c r="E30" s="141">
        <v>0.70833333333333337</v>
      </c>
      <c r="F30" s="142"/>
      <c r="G30" s="145"/>
      <c r="H30" s="144"/>
      <c r="I30" s="147"/>
      <c r="J30" s="146"/>
    </row>
    <row r="31" spans="1:18">
      <c r="A31" s="400" t="s">
        <v>221</v>
      </c>
      <c r="B31" s="814" t="s">
        <v>201</v>
      </c>
      <c r="C31" s="815"/>
      <c r="D31" s="141">
        <v>0.33333333333333331</v>
      </c>
      <c r="E31" s="141">
        <v>0.70833333333333337</v>
      </c>
      <c r="F31" s="148"/>
      <c r="G31" s="145"/>
      <c r="H31" s="144"/>
      <c r="I31" s="147"/>
      <c r="J31" s="146"/>
    </row>
    <row r="32" spans="1:18">
      <c r="A32" s="400"/>
      <c r="B32" s="819" t="s">
        <v>210</v>
      </c>
      <c r="C32" s="820"/>
      <c r="D32" s="141">
        <v>0.73958333333333337</v>
      </c>
      <c r="E32" s="141">
        <v>0.82291666666666663</v>
      </c>
      <c r="F32" s="142" t="s">
        <v>190</v>
      </c>
      <c r="G32" s="143"/>
      <c r="H32" s="144">
        <v>720</v>
      </c>
      <c r="I32" s="147"/>
      <c r="J32" s="146">
        <f t="shared" si="0"/>
        <v>720</v>
      </c>
      <c r="K32" t="s">
        <v>223</v>
      </c>
    </row>
    <row r="33" spans="1:10">
      <c r="A33" s="151"/>
      <c r="B33" s="821"/>
      <c r="C33" s="822"/>
      <c r="D33" s="203"/>
      <c r="E33" s="203"/>
      <c r="F33" s="204"/>
      <c r="G33" s="143"/>
      <c r="H33" s="205"/>
      <c r="I33" s="206"/>
      <c r="J33" s="146"/>
    </row>
    <row r="34" spans="1:10" ht="15.75" customHeight="1" thickBot="1">
      <c r="A34" s="133"/>
      <c r="B34" s="202" t="s">
        <v>125</v>
      </c>
      <c r="C34" s="816" t="s">
        <v>225</v>
      </c>
      <c r="D34" s="816"/>
      <c r="E34" s="816"/>
      <c r="F34" s="816"/>
      <c r="G34" s="816"/>
      <c r="H34" s="816"/>
      <c r="I34" s="153" t="s">
        <v>69</v>
      </c>
      <c r="J34" s="201">
        <f>SUM(J19:J33)</f>
        <v>5580</v>
      </c>
    </row>
    <row r="35" spans="1:10" ht="13.8">
      <c r="A35" s="154"/>
      <c r="B35" s="155"/>
      <c r="C35" s="155"/>
      <c r="D35" s="17"/>
      <c r="E35" s="127" t="s">
        <v>126</v>
      </c>
      <c r="F35" s="152"/>
      <c r="G35" s="156"/>
      <c r="H35" s="156"/>
      <c r="I35" s="156"/>
      <c r="J35" s="157"/>
    </row>
    <row r="36" spans="1:10" ht="13.8">
      <c r="A36" s="133"/>
      <c r="B36" s="5"/>
      <c r="C36" s="5"/>
      <c r="D36" s="4"/>
      <c r="E36" s="128"/>
      <c r="F36" s="152"/>
      <c r="G36" s="156"/>
      <c r="H36" s="156"/>
      <c r="I36" s="156"/>
      <c r="J36" s="157"/>
    </row>
    <row r="37" spans="1:10" ht="15" customHeight="1">
      <c r="A37" s="384" t="s">
        <v>127</v>
      </c>
      <c r="B37" s="385"/>
      <c r="C37" s="385"/>
      <c r="D37" s="386"/>
      <c r="E37" s="387" t="str">
        <f>B9</f>
        <v>ROGER E. AMOLATO</v>
      </c>
      <c r="F37" s="388"/>
      <c r="G37" s="388"/>
      <c r="H37" s="388"/>
      <c r="I37" s="388"/>
      <c r="J37" s="389"/>
    </row>
    <row r="38" spans="1:10" ht="13.8">
      <c r="A38" s="384"/>
      <c r="B38" s="385"/>
      <c r="C38" s="385"/>
      <c r="D38" s="386"/>
      <c r="E38" s="378" t="s">
        <v>128</v>
      </c>
      <c r="F38" s="379"/>
      <c r="G38" s="379"/>
      <c r="H38" s="379"/>
      <c r="I38" s="379"/>
      <c r="J38" s="380"/>
    </row>
    <row r="39" spans="1:10" ht="14.4" thickBot="1">
      <c r="A39" s="384"/>
      <c r="B39" s="385"/>
      <c r="C39" s="385"/>
      <c r="D39" s="386"/>
      <c r="E39" s="390"/>
      <c r="F39" s="391"/>
      <c r="G39" s="391"/>
      <c r="H39" s="391"/>
      <c r="I39" s="391"/>
      <c r="J39" s="392"/>
    </row>
    <row r="40" spans="1:10" ht="13.8">
      <c r="A40" s="384"/>
      <c r="B40" s="385"/>
      <c r="C40" s="385"/>
      <c r="D40" s="386"/>
      <c r="E40" s="127" t="s">
        <v>129</v>
      </c>
      <c r="F40" s="158"/>
      <c r="G40" s="159"/>
      <c r="H40" s="159"/>
      <c r="I40" s="159"/>
      <c r="J40" s="160"/>
    </row>
    <row r="41" spans="1:10" ht="13.8">
      <c r="A41" s="384"/>
      <c r="B41" s="385"/>
      <c r="C41" s="385"/>
      <c r="D41" s="386"/>
      <c r="E41" s="37"/>
      <c r="F41" s="5"/>
      <c r="G41" s="156"/>
      <c r="H41" s="156"/>
      <c r="I41" s="156"/>
      <c r="J41" s="157"/>
    </row>
    <row r="42" spans="1:10" ht="13.8">
      <c r="A42" s="393"/>
      <c r="B42" s="394"/>
      <c r="C42" s="394"/>
      <c r="D42" s="395"/>
      <c r="E42" s="37"/>
      <c r="F42" s="5"/>
      <c r="G42" s="156"/>
      <c r="H42" s="156"/>
      <c r="I42" s="156"/>
      <c r="J42" s="157"/>
    </row>
    <row r="43" spans="1:10" ht="13.8">
      <c r="A43" s="133"/>
      <c r="B43" s="5"/>
      <c r="C43" s="5"/>
      <c r="D43" s="4"/>
      <c r="E43" s="37"/>
      <c r="F43" s="5"/>
      <c r="G43" s="156"/>
      <c r="H43" s="156"/>
      <c r="I43" s="156"/>
      <c r="J43" s="157"/>
    </row>
    <row r="44" spans="1:10" ht="13.8">
      <c r="A44" s="387" t="str">
        <f>'obs r 3'!C35</f>
        <v>MARK JUBEN M. PILAPIL</v>
      </c>
      <c r="B44" s="388"/>
      <c r="C44" s="388"/>
      <c r="D44" s="389"/>
      <c r="E44" s="387" t="s">
        <v>222</v>
      </c>
      <c r="F44" s="388"/>
      <c r="G44" s="388"/>
      <c r="H44" s="388"/>
      <c r="I44" s="388"/>
      <c r="J44" s="389"/>
    </row>
    <row r="45" spans="1:10" ht="13.8">
      <c r="A45" s="378" t="s">
        <v>128</v>
      </c>
      <c r="B45" s="379"/>
      <c r="C45" s="379"/>
      <c r="D45" s="380"/>
      <c r="E45" s="378" t="s">
        <v>128</v>
      </c>
      <c r="F45" s="379"/>
      <c r="G45" s="379"/>
      <c r="H45" s="379"/>
      <c r="I45" s="379"/>
      <c r="J45" s="380"/>
    </row>
    <row r="46" spans="1:10" ht="13.8">
      <c r="A46" s="381" t="s">
        <v>130</v>
      </c>
      <c r="B46" s="382"/>
      <c r="C46" s="382"/>
      <c r="D46" s="383"/>
      <c r="E46" s="381" t="s">
        <v>49</v>
      </c>
      <c r="F46" s="382"/>
      <c r="G46" s="382"/>
      <c r="H46" s="382"/>
      <c r="I46" s="382"/>
      <c r="J46" s="383"/>
    </row>
    <row r="47" spans="1:10" ht="13.8">
      <c r="A47" s="161"/>
      <c r="E47" s="37"/>
      <c r="F47" s="5"/>
      <c r="G47" s="162"/>
      <c r="H47" s="162"/>
      <c r="I47" s="162"/>
      <c r="J47" s="157"/>
    </row>
    <row r="48" spans="1:10" ht="14.4" thickBot="1">
      <c r="A48" s="130"/>
      <c r="B48" s="131"/>
      <c r="C48" s="163"/>
      <c r="D48" s="18"/>
      <c r="E48" s="164"/>
      <c r="F48" s="131"/>
      <c r="G48" s="165"/>
      <c r="H48" s="165"/>
      <c r="I48" s="165"/>
      <c r="J48" s="166"/>
    </row>
    <row r="49" spans="1:10" ht="13.8">
      <c r="A49" s="167"/>
      <c r="B49" s="5"/>
      <c r="C49" s="5"/>
      <c r="D49" s="5"/>
      <c r="E49" s="5"/>
      <c r="F49" s="5"/>
      <c r="G49" s="168"/>
      <c r="H49" s="168"/>
      <c r="I49" s="168"/>
      <c r="J49" s="168"/>
    </row>
  </sheetData>
  <mergeCells count="41">
    <mergeCell ref="A28:A30"/>
    <mergeCell ref="A31:A32"/>
    <mergeCell ref="F13:J14"/>
    <mergeCell ref="F12:J12"/>
    <mergeCell ref="B28:C28"/>
    <mergeCell ref="B32:C33"/>
    <mergeCell ref="A19:A20"/>
    <mergeCell ref="B21:C22"/>
    <mergeCell ref="A22:A24"/>
    <mergeCell ref="B25:C25"/>
    <mergeCell ref="B23:C24"/>
    <mergeCell ref="A25:A26"/>
    <mergeCell ref="A46:D46"/>
    <mergeCell ref="E46:J46"/>
    <mergeCell ref="A44:D44"/>
    <mergeCell ref="E44:J44"/>
    <mergeCell ref="A42:D42"/>
    <mergeCell ref="A45:D45"/>
    <mergeCell ref="E45:J45"/>
    <mergeCell ref="E39:J39"/>
    <mergeCell ref="G17:G18"/>
    <mergeCell ref="B10:E10"/>
    <mergeCell ref="A11:E11"/>
    <mergeCell ref="F15:J15"/>
    <mergeCell ref="J17:J18"/>
    <mergeCell ref="A17:A18"/>
    <mergeCell ref="B31:C31"/>
    <mergeCell ref="C34:H34"/>
    <mergeCell ref="A37:D41"/>
    <mergeCell ref="E37:J37"/>
    <mergeCell ref="E38:J38"/>
    <mergeCell ref="B17:C17"/>
    <mergeCell ref="D17:E17"/>
    <mergeCell ref="I17:I18"/>
    <mergeCell ref="B18:C18"/>
    <mergeCell ref="H1:J1"/>
    <mergeCell ref="A2:J2"/>
    <mergeCell ref="A3:J3"/>
    <mergeCell ref="H7:J7"/>
    <mergeCell ref="B9:E9"/>
    <mergeCell ref="G9:J11"/>
  </mergeCells>
  <printOptions horizontalCentered="1"/>
  <pageMargins left="0.25" right="0.25" top="0.75" bottom="0.75" header="0.3" footer="0.3"/>
  <pageSetup paperSize="9" scale="99" orientation="portrait" r:id="rId1"/>
  <headerFooter alignWithMargins="0">
    <oddFooter>&amp;C&amp;"Times New Roman,Regular"&amp;12 121</oddFooter>
  </headerFooter>
  <rowBreaks count="1" manualBreakCount="1">
    <brk id="48" max="9" man="1"/>
  </rowBreaks>
  <colBreaks count="1" manualBreakCount="1">
    <brk id="10"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I55"/>
  <sheetViews>
    <sheetView zoomScale="98" zoomScaleNormal="130" workbookViewId="0">
      <selection activeCell="H44" sqref="H44:H45"/>
    </sheetView>
  </sheetViews>
  <sheetFormatPr defaultRowHeight="13.2"/>
  <cols>
    <col min="7" max="7" width="11.88671875" customWidth="1"/>
    <col min="9" max="9" width="12" customWidth="1"/>
  </cols>
  <sheetData>
    <row r="1" spans="1:9" ht="13.8">
      <c r="A1" s="829" t="s">
        <v>131</v>
      </c>
      <c r="B1" s="830"/>
      <c r="C1" s="830"/>
      <c r="D1" s="830"/>
      <c r="E1" s="830"/>
      <c r="F1" s="830"/>
      <c r="G1" s="830"/>
      <c r="H1" s="830"/>
      <c r="I1" s="831"/>
    </row>
    <row r="2" spans="1:9" ht="13.8">
      <c r="A2" s="873" t="s">
        <v>132</v>
      </c>
      <c r="B2" s="874"/>
      <c r="C2" s="874"/>
      <c r="D2" s="874"/>
      <c r="E2" s="874"/>
      <c r="F2" s="874"/>
      <c r="G2" s="874"/>
      <c r="H2" s="874"/>
      <c r="I2" s="875"/>
    </row>
    <row r="3" spans="1:9" ht="13.8">
      <c r="A3" s="873" t="s">
        <v>65</v>
      </c>
      <c r="B3" s="874"/>
      <c r="C3" s="874"/>
      <c r="D3" s="874"/>
      <c r="E3" s="874"/>
      <c r="F3" s="874"/>
      <c r="G3" s="874"/>
      <c r="H3" s="874"/>
      <c r="I3" s="875"/>
    </row>
    <row r="4" spans="1:9" ht="15.6">
      <c r="A4" s="876"/>
      <c r="B4" s="877"/>
      <c r="C4" s="877"/>
      <c r="D4" s="877"/>
      <c r="E4" s="877"/>
      <c r="F4" s="877"/>
      <c r="G4" s="877"/>
      <c r="H4" s="877"/>
      <c r="I4" s="878"/>
    </row>
    <row r="5" spans="1:9" ht="13.8">
      <c r="A5" s="879" t="s">
        <v>133</v>
      </c>
      <c r="B5" s="880"/>
      <c r="C5" s="880"/>
      <c r="D5" s="880"/>
      <c r="E5" s="880"/>
      <c r="F5" s="880"/>
      <c r="G5" s="880"/>
      <c r="H5" s="880"/>
      <c r="I5" s="881"/>
    </row>
    <row r="6" spans="1:9" ht="13.8">
      <c r="A6" s="882" t="s">
        <v>134</v>
      </c>
      <c r="B6" s="883"/>
      <c r="C6" s="883"/>
      <c r="D6" s="883"/>
      <c r="E6" s="883"/>
      <c r="F6" s="883"/>
      <c r="G6" s="883"/>
      <c r="H6" s="883"/>
      <c r="I6" s="884"/>
    </row>
    <row r="7" spans="1:9" ht="13.8">
      <c r="A7" s="832" t="s">
        <v>135</v>
      </c>
      <c r="B7" s="833"/>
      <c r="C7" s="833"/>
      <c r="D7" s="833"/>
      <c r="E7" s="833"/>
      <c r="F7" s="833"/>
      <c r="G7" s="833"/>
      <c r="H7" s="833"/>
      <c r="I7" s="834"/>
    </row>
    <row r="8" spans="1:9" ht="14.4">
      <c r="A8" s="863" t="s">
        <v>136</v>
      </c>
      <c r="B8" s="863"/>
      <c r="C8" s="864" t="str">
        <f>IT!B9</f>
        <v>ROGER E. AMOLATO</v>
      </c>
      <c r="D8" s="864"/>
      <c r="E8" s="864"/>
      <c r="F8" s="864"/>
      <c r="G8" s="169" t="s">
        <v>137</v>
      </c>
      <c r="H8" s="859"/>
      <c r="I8" s="859"/>
    </row>
    <row r="9" spans="1:9" ht="13.8">
      <c r="A9" s="170" t="s">
        <v>64</v>
      </c>
      <c r="B9" s="865" t="s">
        <v>1</v>
      </c>
      <c r="C9" s="865"/>
      <c r="D9" s="865"/>
      <c r="E9" s="865"/>
      <c r="F9" s="865"/>
      <c r="G9" s="865"/>
      <c r="H9" s="865"/>
      <c r="I9" s="865"/>
    </row>
    <row r="10" spans="1:9" ht="13.8">
      <c r="A10" s="170" t="s">
        <v>138</v>
      </c>
      <c r="B10" s="865" t="s">
        <v>139</v>
      </c>
      <c r="C10" s="865"/>
      <c r="D10" s="865"/>
      <c r="E10" s="865"/>
      <c r="F10" s="865"/>
      <c r="G10" s="865"/>
      <c r="H10" s="865"/>
      <c r="I10" s="865"/>
    </row>
    <row r="11" spans="1:9" ht="13.8">
      <c r="A11" s="866" t="s">
        <v>19</v>
      </c>
      <c r="B11" s="867"/>
      <c r="C11" s="867"/>
      <c r="D11" s="867"/>
      <c r="E11" s="867"/>
      <c r="F11" s="867"/>
      <c r="G11" s="862"/>
      <c r="H11" s="866" t="s">
        <v>140</v>
      </c>
      <c r="I11" s="862"/>
    </row>
    <row r="12" spans="1:9" ht="13.8">
      <c r="A12" s="207" t="s">
        <v>206</v>
      </c>
      <c r="B12" s="173"/>
      <c r="C12" s="173"/>
      <c r="D12" s="173"/>
      <c r="E12" s="173"/>
      <c r="F12" s="173"/>
      <c r="G12" s="208"/>
      <c r="H12" s="868">
        <v>180</v>
      </c>
      <c r="I12" s="869"/>
    </row>
    <row r="13" spans="1:9" ht="13.8">
      <c r="A13" s="207"/>
      <c r="B13" s="173"/>
      <c r="C13" s="173"/>
      <c r="D13" s="173"/>
      <c r="E13" s="173"/>
      <c r="F13" s="173"/>
      <c r="G13" s="208"/>
      <c r="H13" s="868"/>
      <c r="I13" s="869"/>
    </row>
    <row r="14" spans="1:9" ht="13.8">
      <c r="A14" s="207"/>
      <c r="B14" s="173"/>
      <c r="C14" s="173"/>
      <c r="D14" s="173"/>
      <c r="E14" s="173"/>
      <c r="F14" s="173"/>
      <c r="G14" s="208"/>
      <c r="H14" s="868"/>
      <c r="I14" s="869"/>
    </row>
    <row r="15" spans="1:9" ht="13.8">
      <c r="A15" s="870"/>
      <c r="B15" s="871"/>
      <c r="C15" s="871"/>
      <c r="D15" s="871"/>
      <c r="E15" s="871"/>
      <c r="F15" s="871"/>
      <c r="G15" s="872"/>
      <c r="H15" s="868"/>
      <c r="I15" s="869"/>
    </row>
    <row r="16" spans="1:9" ht="13.8">
      <c r="A16" s="860" t="s">
        <v>125</v>
      </c>
      <c r="B16" s="860"/>
      <c r="C16" s="860"/>
      <c r="D16" s="860"/>
      <c r="E16" s="860"/>
      <c r="F16" s="860"/>
      <c r="G16" s="860"/>
      <c r="H16" s="861">
        <f>SUM(H12:H15)</f>
        <v>180</v>
      </c>
      <c r="I16" s="862"/>
    </row>
    <row r="17" spans="1:9" ht="13.8">
      <c r="A17" s="843" t="s">
        <v>141</v>
      </c>
      <c r="B17" s="844"/>
      <c r="C17" s="844"/>
      <c r="D17" s="844"/>
      <c r="E17" s="844"/>
      <c r="F17" s="844"/>
      <c r="G17" s="844"/>
      <c r="H17" s="844"/>
      <c r="I17" s="845"/>
    </row>
    <row r="18" spans="1:9" ht="39" customHeight="1">
      <c r="A18" s="855" t="s">
        <v>226</v>
      </c>
      <c r="B18" s="856"/>
      <c r="C18" s="856"/>
      <c r="D18" s="856"/>
      <c r="E18" s="856"/>
      <c r="F18" s="856"/>
      <c r="G18" s="856"/>
      <c r="H18" s="856"/>
      <c r="I18" s="857"/>
    </row>
    <row r="19" spans="1:9">
      <c r="A19" s="891" t="s">
        <v>142</v>
      </c>
      <c r="B19" s="892"/>
      <c r="C19" s="892"/>
      <c r="D19" s="892"/>
      <c r="E19" s="892"/>
      <c r="F19" s="892"/>
      <c r="G19" s="892"/>
      <c r="H19" s="892"/>
      <c r="I19" s="893"/>
    </row>
    <row r="20" spans="1:9">
      <c r="A20" s="894"/>
      <c r="B20" s="895"/>
      <c r="C20" s="895"/>
      <c r="D20" s="895"/>
      <c r="E20" s="895"/>
      <c r="F20" s="895"/>
      <c r="G20" s="895"/>
      <c r="H20" s="895"/>
      <c r="I20" s="896"/>
    </row>
    <row r="21" spans="1:9" ht="24" customHeight="1">
      <c r="A21" s="897"/>
      <c r="B21" s="898"/>
      <c r="C21" s="898"/>
      <c r="D21" s="898"/>
      <c r="E21" s="898"/>
      <c r="F21" s="898"/>
      <c r="G21" s="898"/>
      <c r="H21" s="898"/>
      <c r="I21" s="899"/>
    </row>
    <row r="22" spans="1:9" ht="13.8">
      <c r="A22" s="859"/>
      <c r="B22" s="859"/>
      <c r="C22" s="859"/>
      <c r="D22" s="838" t="s">
        <v>143</v>
      </c>
      <c r="E22" s="838"/>
      <c r="F22" s="838"/>
      <c r="G22" s="838" t="s">
        <v>144</v>
      </c>
      <c r="H22" s="838"/>
      <c r="I22" s="838"/>
    </row>
    <row r="23" spans="1:9" ht="23.25" customHeight="1">
      <c r="A23" s="838" t="s">
        <v>145</v>
      </c>
      <c r="B23" s="838"/>
      <c r="C23" s="838"/>
      <c r="D23" s="839"/>
      <c r="E23" s="840"/>
      <c r="F23" s="841"/>
      <c r="G23" s="842"/>
      <c r="H23" s="840"/>
      <c r="I23" s="841"/>
    </row>
    <row r="24" spans="1:9" ht="16.5" customHeight="1">
      <c r="A24" s="885" t="s">
        <v>82</v>
      </c>
      <c r="B24" s="886"/>
      <c r="C24" s="887"/>
      <c r="D24" s="849" t="str">
        <f>C8</f>
        <v>ROGER E. AMOLATO</v>
      </c>
      <c r="E24" s="850"/>
      <c r="F24" s="851"/>
      <c r="G24" s="849" t="str">
        <f>IT!A44</f>
        <v>MARK JUBEN M. PILAPIL</v>
      </c>
      <c r="H24" s="850"/>
      <c r="I24" s="851"/>
    </row>
    <row r="25" spans="1:9" ht="7.5" customHeight="1">
      <c r="A25" s="888"/>
      <c r="B25" s="889"/>
      <c r="C25" s="890"/>
      <c r="D25" s="852"/>
      <c r="E25" s="853"/>
      <c r="F25" s="854"/>
      <c r="G25" s="852"/>
      <c r="H25" s="853"/>
      <c r="I25" s="854"/>
    </row>
    <row r="26" spans="1:9" ht="13.8">
      <c r="A26" s="829"/>
      <c r="B26" s="830"/>
      <c r="C26" s="831"/>
      <c r="D26" s="835" t="str">
        <f>Source!A2</f>
        <v>Instructor I - Temporary</v>
      </c>
      <c r="E26" s="835"/>
      <c r="F26" s="835"/>
      <c r="G26" s="835" t="s">
        <v>130</v>
      </c>
      <c r="H26" s="835"/>
      <c r="I26" s="835"/>
    </row>
    <row r="27" spans="1:9" ht="13.8">
      <c r="A27" s="832"/>
      <c r="B27" s="833"/>
      <c r="C27" s="834"/>
      <c r="D27" s="171" t="s">
        <v>50</v>
      </c>
      <c r="E27" s="836"/>
      <c r="F27" s="837"/>
      <c r="G27" s="171" t="s">
        <v>50</v>
      </c>
      <c r="H27" s="836"/>
      <c r="I27" s="837"/>
    </row>
    <row r="28" spans="1:9" ht="13.8">
      <c r="A28" s="172"/>
      <c r="B28" s="172"/>
      <c r="C28" s="172"/>
      <c r="D28" s="173"/>
      <c r="E28" s="174"/>
      <c r="F28" s="174"/>
      <c r="G28" s="173"/>
      <c r="H28" s="174"/>
      <c r="I28" s="174"/>
    </row>
    <row r="29" spans="1:9" ht="13.8">
      <c r="A29" s="829" t="s">
        <v>131</v>
      </c>
      <c r="B29" s="830"/>
      <c r="C29" s="830"/>
      <c r="D29" s="830"/>
      <c r="E29" s="830"/>
      <c r="F29" s="830"/>
      <c r="G29" s="830"/>
      <c r="H29" s="830"/>
      <c r="I29" s="831"/>
    </row>
    <row r="30" spans="1:9" ht="13.8">
      <c r="A30" s="873" t="s">
        <v>132</v>
      </c>
      <c r="B30" s="874"/>
      <c r="C30" s="874"/>
      <c r="D30" s="874"/>
      <c r="E30" s="874"/>
      <c r="F30" s="874"/>
      <c r="G30" s="874"/>
      <c r="H30" s="874"/>
      <c r="I30" s="875"/>
    </row>
    <row r="31" spans="1:9" ht="13.8">
      <c r="A31" s="873" t="s">
        <v>65</v>
      </c>
      <c r="B31" s="874"/>
      <c r="C31" s="874"/>
      <c r="D31" s="874"/>
      <c r="E31" s="874"/>
      <c r="F31" s="874"/>
      <c r="G31" s="874"/>
      <c r="H31" s="874"/>
      <c r="I31" s="875"/>
    </row>
    <row r="32" spans="1:9" ht="15.6">
      <c r="A32" s="876"/>
      <c r="B32" s="877"/>
      <c r="C32" s="877"/>
      <c r="D32" s="877"/>
      <c r="E32" s="877"/>
      <c r="F32" s="877"/>
      <c r="G32" s="877"/>
      <c r="H32" s="877"/>
      <c r="I32" s="878"/>
    </row>
    <row r="33" spans="1:9" ht="13.8">
      <c r="A33" s="879" t="s">
        <v>133</v>
      </c>
      <c r="B33" s="880"/>
      <c r="C33" s="880"/>
      <c r="D33" s="880"/>
      <c r="E33" s="880"/>
      <c r="F33" s="880"/>
      <c r="G33" s="880"/>
      <c r="H33" s="880"/>
      <c r="I33" s="881"/>
    </row>
    <row r="34" spans="1:9" ht="13.8">
      <c r="A34" s="882" t="s">
        <v>134</v>
      </c>
      <c r="B34" s="883"/>
      <c r="C34" s="883"/>
      <c r="D34" s="883"/>
      <c r="E34" s="883"/>
      <c r="F34" s="883"/>
      <c r="G34" s="883"/>
      <c r="H34" s="883"/>
      <c r="I34" s="884"/>
    </row>
    <row r="35" spans="1:9" ht="13.8">
      <c r="A35" s="832" t="s">
        <v>135</v>
      </c>
      <c r="B35" s="833"/>
      <c r="C35" s="833"/>
      <c r="D35" s="833"/>
      <c r="E35" s="833"/>
      <c r="F35" s="833"/>
      <c r="G35" s="833"/>
      <c r="H35" s="833"/>
      <c r="I35" s="834"/>
    </row>
    <row r="36" spans="1:9" ht="14.4">
      <c r="A36" s="863" t="s">
        <v>136</v>
      </c>
      <c r="B36" s="863"/>
      <c r="C36" s="864" t="str">
        <f>C8</f>
        <v>ROGER E. AMOLATO</v>
      </c>
      <c r="D36" s="864"/>
      <c r="E36" s="864"/>
      <c r="F36" s="864"/>
      <c r="G36" s="169" t="s">
        <v>137</v>
      </c>
      <c r="H36" s="859"/>
      <c r="I36" s="859"/>
    </row>
    <row r="37" spans="1:9" ht="13.8">
      <c r="A37" s="170" t="s">
        <v>64</v>
      </c>
      <c r="B37" s="865" t="s">
        <v>1</v>
      </c>
      <c r="C37" s="865"/>
      <c r="D37" s="865"/>
      <c r="E37" s="865"/>
      <c r="F37" s="865"/>
      <c r="G37" s="865"/>
      <c r="H37" s="865"/>
      <c r="I37" s="865"/>
    </row>
    <row r="38" spans="1:9" ht="13.8">
      <c r="A38" s="170" t="s">
        <v>138</v>
      </c>
      <c r="B38" s="865" t="s">
        <v>139</v>
      </c>
      <c r="C38" s="865"/>
      <c r="D38" s="865"/>
      <c r="E38" s="865"/>
      <c r="F38" s="865"/>
      <c r="G38" s="865"/>
      <c r="H38" s="865"/>
      <c r="I38" s="865"/>
    </row>
    <row r="39" spans="1:9" ht="13.8">
      <c r="A39" s="866" t="s">
        <v>19</v>
      </c>
      <c r="B39" s="867"/>
      <c r="C39" s="867"/>
      <c r="D39" s="867"/>
      <c r="E39" s="867"/>
      <c r="F39" s="867"/>
      <c r="G39" s="862"/>
      <c r="H39" s="866" t="s">
        <v>140</v>
      </c>
      <c r="I39" s="862"/>
    </row>
    <row r="40" spans="1:9" ht="13.8">
      <c r="A40" s="207" t="s">
        <v>206</v>
      </c>
      <c r="B40" s="173"/>
      <c r="C40" s="173"/>
      <c r="D40" s="173"/>
      <c r="E40" s="173"/>
      <c r="F40" s="173"/>
      <c r="G40" s="208"/>
      <c r="H40" s="868">
        <v>180</v>
      </c>
      <c r="I40" s="869"/>
    </row>
    <row r="41" spans="1:9" ht="13.8">
      <c r="B41" s="173"/>
      <c r="C41" s="173"/>
      <c r="D41" s="173"/>
      <c r="E41" s="173"/>
      <c r="F41" s="173"/>
      <c r="G41" s="208"/>
      <c r="I41" s="298"/>
    </row>
    <row r="42" spans="1:9" ht="13.8">
      <c r="A42" s="207"/>
      <c r="B42" s="173"/>
      <c r="C42" s="173"/>
      <c r="D42" s="173"/>
      <c r="E42" s="173"/>
      <c r="F42" s="173"/>
      <c r="G42" s="208"/>
      <c r="H42" s="868">
        <f>H14</f>
        <v>0</v>
      </c>
      <c r="I42" s="869"/>
    </row>
    <row r="43" spans="1:9" ht="13.8">
      <c r="A43" s="870"/>
      <c r="B43" s="871"/>
      <c r="C43" s="871"/>
      <c r="D43" s="871"/>
      <c r="E43" s="871"/>
      <c r="F43" s="871"/>
      <c r="G43" s="872"/>
      <c r="H43" s="868">
        <f>H15</f>
        <v>0</v>
      </c>
      <c r="I43" s="869"/>
    </row>
    <row r="44" spans="1:9" ht="13.8">
      <c r="A44" s="860" t="s">
        <v>125</v>
      </c>
      <c r="B44" s="860"/>
      <c r="C44" s="860"/>
      <c r="D44" s="860"/>
      <c r="E44" s="860"/>
      <c r="F44" s="860"/>
      <c r="G44" s="860"/>
      <c r="H44" s="861">
        <f>SUM(H40:H43)</f>
        <v>180</v>
      </c>
      <c r="I44" s="862"/>
    </row>
    <row r="45" spans="1:9" ht="13.8">
      <c r="A45" s="843" t="s">
        <v>141</v>
      </c>
      <c r="B45" s="844"/>
      <c r="C45" s="844"/>
      <c r="D45" s="844"/>
      <c r="E45" s="844"/>
      <c r="F45" s="844"/>
      <c r="G45" s="844"/>
      <c r="H45" s="844"/>
      <c r="I45" s="845"/>
    </row>
    <row r="46" spans="1:9" ht="38.25" customHeight="1">
      <c r="A46" s="855" t="str">
        <f>A18</f>
        <v>to attend and participate the Crafting of University Land Use Development and Infrastructure Plan at JJs Seafood and Restaurant</v>
      </c>
      <c r="B46" s="856"/>
      <c r="C46" s="856"/>
      <c r="D46" s="856"/>
      <c r="E46" s="856"/>
      <c r="F46" s="856"/>
      <c r="G46" s="856"/>
      <c r="H46" s="856"/>
      <c r="I46" s="857"/>
    </row>
    <row r="47" spans="1:9">
      <c r="A47" s="858" t="s">
        <v>142</v>
      </c>
      <c r="B47" s="858"/>
      <c r="C47" s="858"/>
      <c r="D47" s="858"/>
      <c r="E47" s="858"/>
      <c r="F47" s="858"/>
      <c r="G47" s="858"/>
      <c r="H47" s="858"/>
      <c r="I47" s="858"/>
    </row>
    <row r="48" spans="1:9">
      <c r="A48" s="858"/>
      <c r="B48" s="858"/>
      <c r="C48" s="858"/>
      <c r="D48" s="858"/>
      <c r="E48" s="858"/>
      <c r="F48" s="858"/>
      <c r="G48" s="858"/>
      <c r="H48" s="858"/>
      <c r="I48" s="858"/>
    </row>
    <row r="49" spans="1:9" ht="24" customHeight="1">
      <c r="A49" s="858"/>
      <c r="B49" s="858"/>
      <c r="C49" s="858"/>
      <c r="D49" s="858"/>
      <c r="E49" s="858"/>
      <c r="F49" s="858"/>
      <c r="G49" s="858"/>
      <c r="H49" s="858"/>
      <c r="I49" s="858"/>
    </row>
    <row r="50" spans="1:9" ht="13.8">
      <c r="A50" s="859"/>
      <c r="B50" s="859"/>
      <c r="C50" s="859"/>
      <c r="D50" s="838" t="s">
        <v>143</v>
      </c>
      <c r="E50" s="838"/>
      <c r="F50" s="838"/>
      <c r="G50" s="838" t="s">
        <v>144</v>
      </c>
      <c r="H50" s="838"/>
      <c r="I50" s="838"/>
    </row>
    <row r="51" spans="1:9" ht="18" customHeight="1">
      <c r="A51" s="838" t="s">
        <v>145</v>
      </c>
      <c r="B51" s="838"/>
      <c r="C51" s="838"/>
      <c r="D51" s="839"/>
      <c r="E51" s="840"/>
      <c r="F51" s="841"/>
      <c r="G51" s="842"/>
      <c r="H51" s="840"/>
      <c r="I51" s="841"/>
    </row>
    <row r="52" spans="1:9" ht="16.5" customHeight="1">
      <c r="A52" s="843" t="s">
        <v>82</v>
      </c>
      <c r="B52" s="844"/>
      <c r="C52" s="845"/>
      <c r="D52" s="849" t="str">
        <f>C36</f>
        <v>ROGER E. AMOLATO</v>
      </c>
      <c r="E52" s="850"/>
      <c r="F52" s="851"/>
      <c r="G52" s="849" t="str">
        <f>G24</f>
        <v>MARK JUBEN M. PILAPIL</v>
      </c>
      <c r="H52" s="850"/>
      <c r="I52" s="851"/>
    </row>
    <row r="53" spans="1:9" ht="5.25" customHeight="1">
      <c r="A53" s="846"/>
      <c r="B53" s="847"/>
      <c r="C53" s="848"/>
      <c r="D53" s="852"/>
      <c r="E53" s="853"/>
      <c r="F53" s="854"/>
      <c r="G53" s="852"/>
      <c r="H53" s="853"/>
      <c r="I53" s="854"/>
    </row>
    <row r="54" spans="1:9" ht="13.8">
      <c r="A54" s="829"/>
      <c r="B54" s="830"/>
      <c r="C54" s="831"/>
      <c r="D54" s="835" t="str">
        <f>D26</f>
        <v>Instructor I - Temporary</v>
      </c>
      <c r="E54" s="835"/>
      <c r="F54" s="835"/>
      <c r="G54" s="835" t="s">
        <v>130</v>
      </c>
      <c r="H54" s="835"/>
      <c r="I54" s="835"/>
    </row>
    <row r="55" spans="1:9" ht="13.8">
      <c r="A55" s="832"/>
      <c r="B55" s="833"/>
      <c r="C55" s="834"/>
      <c r="D55" s="171" t="s">
        <v>50</v>
      </c>
      <c r="E55" s="836"/>
      <c r="F55" s="837"/>
      <c r="G55" s="171" t="s">
        <v>50</v>
      </c>
      <c r="H55" s="836"/>
      <c r="I55" s="837"/>
    </row>
  </sheetData>
  <mergeCells count="75">
    <mergeCell ref="B10:I10"/>
    <mergeCell ref="A1:I1"/>
    <mergeCell ref="A2:I2"/>
    <mergeCell ref="A3:I3"/>
    <mergeCell ref="A4:I4"/>
    <mergeCell ref="A5:I5"/>
    <mergeCell ref="A6:I6"/>
    <mergeCell ref="A7:I7"/>
    <mergeCell ref="A8:B8"/>
    <mergeCell ref="C8:F8"/>
    <mergeCell ref="H8:I8"/>
    <mergeCell ref="B9:I9"/>
    <mergeCell ref="A22:C22"/>
    <mergeCell ref="D22:F22"/>
    <mergeCell ref="G22:I22"/>
    <mergeCell ref="A11:G11"/>
    <mergeCell ref="H11:I11"/>
    <mergeCell ref="H12:I12"/>
    <mergeCell ref="H13:I13"/>
    <mergeCell ref="H14:I14"/>
    <mergeCell ref="A15:G15"/>
    <mergeCell ref="H15:I15"/>
    <mergeCell ref="A16:G16"/>
    <mergeCell ref="H16:I16"/>
    <mergeCell ref="A17:I17"/>
    <mergeCell ref="A18:I18"/>
    <mergeCell ref="A19:I21"/>
    <mergeCell ref="A23:C23"/>
    <mergeCell ref="D23:F23"/>
    <mergeCell ref="G23:I23"/>
    <mergeCell ref="A24:C25"/>
    <mergeCell ref="D24:F25"/>
    <mergeCell ref="G24:I25"/>
    <mergeCell ref="A35:I35"/>
    <mergeCell ref="A26:C27"/>
    <mergeCell ref="D26:F26"/>
    <mergeCell ref="G26:I26"/>
    <mergeCell ref="E27:F27"/>
    <mergeCell ref="H27:I27"/>
    <mergeCell ref="A29:I29"/>
    <mergeCell ref="A30:I30"/>
    <mergeCell ref="A31:I31"/>
    <mergeCell ref="A32:I32"/>
    <mergeCell ref="A33:I33"/>
    <mergeCell ref="A34:I34"/>
    <mergeCell ref="A44:G44"/>
    <mergeCell ref="H44:I44"/>
    <mergeCell ref="A36:B36"/>
    <mergeCell ref="C36:F36"/>
    <mergeCell ref="H36:I36"/>
    <mergeCell ref="B37:I37"/>
    <mergeCell ref="B38:I38"/>
    <mergeCell ref="A39:G39"/>
    <mergeCell ref="H39:I39"/>
    <mergeCell ref="H40:I40"/>
    <mergeCell ref="H42:I42"/>
    <mergeCell ref="A43:G43"/>
    <mergeCell ref="H43:I43"/>
    <mergeCell ref="A45:I45"/>
    <mergeCell ref="A46:I46"/>
    <mergeCell ref="A47:I49"/>
    <mergeCell ref="A50:C50"/>
    <mergeCell ref="D50:F50"/>
    <mergeCell ref="G50:I50"/>
    <mergeCell ref="A51:C51"/>
    <mergeCell ref="D51:F51"/>
    <mergeCell ref="G51:I51"/>
    <mergeCell ref="A52:C53"/>
    <mergeCell ref="D52:F53"/>
    <mergeCell ref="G52:I53"/>
    <mergeCell ref="A54:C55"/>
    <mergeCell ref="D54:F54"/>
    <mergeCell ref="G54:I54"/>
    <mergeCell ref="E55:F55"/>
    <mergeCell ref="H55:I55"/>
  </mergeCells>
  <pageMargins left="1.19" right="0.7" top="0.47" bottom="0.75" header="0.3" footer="0.3"/>
  <pageSetup paperSize="9" scale="9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7"/>
  <sheetViews>
    <sheetView showGridLines="0" zoomScale="87" zoomScaleNormal="115" zoomScaleSheetLayoutView="100" workbookViewId="0">
      <selection activeCell="D25" sqref="D25:H25"/>
    </sheetView>
  </sheetViews>
  <sheetFormatPr defaultRowHeight="13.2"/>
  <cols>
    <col min="1" max="1" width="8.33203125" style="210" customWidth="1"/>
    <col min="2" max="2" width="9.109375" style="210" customWidth="1"/>
    <col min="3" max="3" width="1.33203125" style="210" customWidth="1"/>
    <col min="4" max="4" width="9.109375" style="210" customWidth="1"/>
    <col min="5" max="5" width="6.5546875" style="210" customWidth="1"/>
    <col min="6" max="6" width="8.6640625" style="210" customWidth="1"/>
    <col min="7" max="7" width="1" style="210" customWidth="1"/>
    <col min="8" max="8" width="34.33203125" style="210" customWidth="1"/>
    <col min="9" max="9" width="7.88671875" style="210" customWidth="1"/>
    <col min="10" max="10" width="5.109375" style="210" customWidth="1"/>
    <col min="11" max="11" width="13.33203125" style="210" customWidth="1"/>
    <col min="12" max="12" width="8" style="210" customWidth="1"/>
    <col min="13" max="13" width="16.44140625" style="210" customWidth="1"/>
    <col min="14" max="256" width="8.88671875" style="210"/>
    <col min="257" max="257" width="7.44140625" style="210" customWidth="1"/>
    <col min="258" max="258" width="9.109375" style="210" customWidth="1"/>
    <col min="259" max="259" width="4.88671875" style="210" customWidth="1"/>
    <col min="260" max="260" width="7.44140625" style="210" customWidth="1"/>
    <col min="261" max="261" width="6.5546875" style="210" customWidth="1"/>
    <col min="262" max="262" width="10" style="210" customWidth="1"/>
    <col min="263" max="263" width="2" style="210" customWidth="1"/>
    <col min="264" max="264" width="20.44140625" style="210" customWidth="1"/>
    <col min="265" max="265" width="7.88671875" style="210" customWidth="1"/>
    <col min="266" max="266" width="4.44140625" style="210" customWidth="1"/>
    <col min="267" max="267" width="13.33203125" style="210" customWidth="1"/>
    <col min="268" max="268" width="11.109375" style="210" customWidth="1"/>
    <col min="269" max="269" width="15.44140625" style="210" customWidth="1"/>
    <col min="270" max="512" width="8.88671875" style="210"/>
    <col min="513" max="513" width="7.44140625" style="210" customWidth="1"/>
    <col min="514" max="514" width="9.109375" style="210" customWidth="1"/>
    <col min="515" max="515" width="4.88671875" style="210" customWidth="1"/>
    <col min="516" max="516" width="7.44140625" style="210" customWidth="1"/>
    <col min="517" max="517" width="6.5546875" style="210" customWidth="1"/>
    <col min="518" max="518" width="10" style="210" customWidth="1"/>
    <col min="519" max="519" width="2" style="210" customWidth="1"/>
    <col min="520" max="520" width="20.44140625" style="210" customWidth="1"/>
    <col min="521" max="521" width="7.88671875" style="210" customWidth="1"/>
    <col min="522" max="522" width="4.44140625" style="210" customWidth="1"/>
    <col min="523" max="523" width="13.33203125" style="210" customWidth="1"/>
    <col min="524" max="524" width="11.109375" style="210" customWidth="1"/>
    <col min="525" max="525" width="15.44140625" style="210" customWidth="1"/>
    <col min="526" max="768" width="8.88671875" style="210"/>
    <col min="769" max="769" width="7.44140625" style="210" customWidth="1"/>
    <col min="770" max="770" width="9.109375" style="210" customWidth="1"/>
    <col min="771" max="771" width="4.88671875" style="210" customWidth="1"/>
    <col min="772" max="772" width="7.44140625" style="210" customWidth="1"/>
    <col min="773" max="773" width="6.5546875" style="210" customWidth="1"/>
    <col min="774" max="774" width="10" style="210" customWidth="1"/>
    <col min="775" max="775" width="2" style="210" customWidth="1"/>
    <col min="776" max="776" width="20.44140625" style="210" customWidth="1"/>
    <col min="777" max="777" width="7.88671875" style="210" customWidth="1"/>
    <col min="778" max="778" width="4.44140625" style="210" customWidth="1"/>
    <col min="779" max="779" width="13.33203125" style="210" customWidth="1"/>
    <col min="780" max="780" width="11.109375" style="210" customWidth="1"/>
    <col min="781" max="781" width="15.44140625" style="210" customWidth="1"/>
    <col min="782" max="1024" width="8.88671875" style="210"/>
    <col min="1025" max="1025" width="7.44140625" style="210" customWidth="1"/>
    <col min="1026" max="1026" width="9.109375" style="210" customWidth="1"/>
    <col min="1027" max="1027" width="4.88671875" style="210" customWidth="1"/>
    <col min="1028" max="1028" width="7.44140625" style="210" customWidth="1"/>
    <col min="1029" max="1029" width="6.5546875" style="210" customWidth="1"/>
    <col min="1030" max="1030" width="10" style="210" customWidth="1"/>
    <col min="1031" max="1031" width="2" style="210" customWidth="1"/>
    <col min="1032" max="1032" width="20.44140625" style="210" customWidth="1"/>
    <col min="1033" max="1033" width="7.88671875" style="210" customWidth="1"/>
    <col min="1034" max="1034" width="4.44140625" style="210" customWidth="1"/>
    <col min="1035" max="1035" width="13.33203125" style="210" customWidth="1"/>
    <col min="1036" max="1036" width="11.109375" style="210" customWidth="1"/>
    <col min="1037" max="1037" width="15.44140625" style="210" customWidth="1"/>
    <col min="1038" max="1280" width="8.88671875" style="210"/>
    <col min="1281" max="1281" width="7.44140625" style="210" customWidth="1"/>
    <col min="1282" max="1282" width="9.109375" style="210" customWidth="1"/>
    <col min="1283" max="1283" width="4.88671875" style="210" customWidth="1"/>
    <col min="1284" max="1284" width="7.44140625" style="210" customWidth="1"/>
    <col min="1285" max="1285" width="6.5546875" style="210" customWidth="1"/>
    <col min="1286" max="1286" width="10" style="210" customWidth="1"/>
    <col min="1287" max="1287" width="2" style="210" customWidth="1"/>
    <col min="1288" max="1288" width="20.44140625" style="210" customWidth="1"/>
    <col min="1289" max="1289" width="7.88671875" style="210" customWidth="1"/>
    <col min="1290" max="1290" width="4.44140625" style="210" customWidth="1"/>
    <col min="1291" max="1291" width="13.33203125" style="210" customWidth="1"/>
    <col min="1292" max="1292" width="11.109375" style="210" customWidth="1"/>
    <col min="1293" max="1293" width="15.44140625" style="210" customWidth="1"/>
    <col min="1294" max="1536" width="8.88671875" style="210"/>
    <col min="1537" max="1537" width="7.44140625" style="210" customWidth="1"/>
    <col min="1538" max="1538" width="9.109375" style="210" customWidth="1"/>
    <col min="1539" max="1539" width="4.88671875" style="210" customWidth="1"/>
    <col min="1540" max="1540" width="7.44140625" style="210" customWidth="1"/>
    <col min="1541" max="1541" width="6.5546875" style="210" customWidth="1"/>
    <col min="1542" max="1542" width="10" style="210" customWidth="1"/>
    <col min="1543" max="1543" width="2" style="210" customWidth="1"/>
    <col min="1544" max="1544" width="20.44140625" style="210" customWidth="1"/>
    <col min="1545" max="1545" width="7.88671875" style="210" customWidth="1"/>
    <col min="1546" max="1546" width="4.44140625" style="210" customWidth="1"/>
    <col min="1547" max="1547" width="13.33203125" style="210" customWidth="1"/>
    <col min="1548" max="1548" width="11.109375" style="210" customWidth="1"/>
    <col min="1549" max="1549" width="15.44140625" style="210" customWidth="1"/>
    <col min="1550" max="1792" width="8.88671875" style="210"/>
    <col min="1793" max="1793" width="7.44140625" style="210" customWidth="1"/>
    <col min="1794" max="1794" width="9.109375" style="210" customWidth="1"/>
    <col min="1795" max="1795" width="4.88671875" style="210" customWidth="1"/>
    <col min="1796" max="1796" width="7.44140625" style="210" customWidth="1"/>
    <col min="1797" max="1797" width="6.5546875" style="210" customWidth="1"/>
    <col min="1798" max="1798" width="10" style="210" customWidth="1"/>
    <col min="1799" max="1799" width="2" style="210" customWidth="1"/>
    <col min="1800" max="1800" width="20.44140625" style="210" customWidth="1"/>
    <col min="1801" max="1801" width="7.88671875" style="210" customWidth="1"/>
    <col min="1802" max="1802" width="4.44140625" style="210" customWidth="1"/>
    <col min="1803" max="1803" width="13.33203125" style="210" customWidth="1"/>
    <col min="1804" max="1804" width="11.109375" style="210" customWidth="1"/>
    <col min="1805" max="1805" width="15.44140625" style="210" customWidth="1"/>
    <col min="1806" max="2048" width="8.88671875" style="210"/>
    <col min="2049" max="2049" width="7.44140625" style="210" customWidth="1"/>
    <col min="2050" max="2050" width="9.109375" style="210" customWidth="1"/>
    <col min="2051" max="2051" width="4.88671875" style="210" customWidth="1"/>
    <col min="2052" max="2052" width="7.44140625" style="210" customWidth="1"/>
    <col min="2053" max="2053" width="6.5546875" style="210" customWidth="1"/>
    <col min="2054" max="2054" width="10" style="210" customWidth="1"/>
    <col min="2055" max="2055" width="2" style="210" customWidth="1"/>
    <col min="2056" max="2056" width="20.44140625" style="210" customWidth="1"/>
    <col min="2057" max="2057" width="7.88671875" style="210" customWidth="1"/>
    <col min="2058" max="2058" width="4.44140625" style="210" customWidth="1"/>
    <col min="2059" max="2059" width="13.33203125" style="210" customWidth="1"/>
    <col min="2060" max="2060" width="11.109375" style="210" customWidth="1"/>
    <col min="2061" max="2061" width="15.44140625" style="210" customWidth="1"/>
    <col min="2062" max="2304" width="8.88671875" style="210"/>
    <col min="2305" max="2305" width="7.44140625" style="210" customWidth="1"/>
    <col min="2306" max="2306" width="9.109375" style="210" customWidth="1"/>
    <col min="2307" max="2307" width="4.88671875" style="210" customWidth="1"/>
    <col min="2308" max="2308" width="7.44140625" style="210" customWidth="1"/>
    <col min="2309" max="2309" width="6.5546875" style="210" customWidth="1"/>
    <col min="2310" max="2310" width="10" style="210" customWidth="1"/>
    <col min="2311" max="2311" width="2" style="210" customWidth="1"/>
    <col min="2312" max="2312" width="20.44140625" style="210" customWidth="1"/>
    <col min="2313" max="2313" width="7.88671875" style="210" customWidth="1"/>
    <col min="2314" max="2314" width="4.44140625" style="210" customWidth="1"/>
    <col min="2315" max="2315" width="13.33203125" style="210" customWidth="1"/>
    <col min="2316" max="2316" width="11.109375" style="210" customWidth="1"/>
    <col min="2317" max="2317" width="15.44140625" style="210" customWidth="1"/>
    <col min="2318" max="2560" width="8.88671875" style="210"/>
    <col min="2561" max="2561" width="7.44140625" style="210" customWidth="1"/>
    <col min="2562" max="2562" width="9.109375" style="210" customWidth="1"/>
    <col min="2563" max="2563" width="4.88671875" style="210" customWidth="1"/>
    <col min="2564" max="2564" width="7.44140625" style="210" customWidth="1"/>
    <col min="2565" max="2565" width="6.5546875" style="210" customWidth="1"/>
    <col min="2566" max="2566" width="10" style="210" customWidth="1"/>
    <col min="2567" max="2567" width="2" style="210" customWidth="1"/>
    <col min="2568" max="2568" width="20.44140625" style="210" customWidth="1"/>
    <col min="2569" max="2569" width="7.88671875" style="210" customWidth="1"/>
    <col min="2570" max="2570" width="4.44140625" style="210" customWidth="1"/>
    <col min="2571" max="2571" width="13.33203125" style="210" customWidth="1"/>
    <col min="2572" max="2572" width="11.109375" style="210" customWidth="1"/>
    <col min="2573" max="2573" width="15.44140625" style="210" customWidth="1"/>
    <col min="2574" max="2816" width="8.88671875" style="210"/>
    <col min="2817" max="2817" width="7.44140625" style="210" customWidth="1"/>
    <col min="2818" max="2818" width="9.109375" style="210" customWidth="1"/>
    <col min="2819" max="2819" width="4.88671875" style="210" customWidth="1"/>
    <col min="2820" max="2820" width="7.44140625" style="210" customWidth="1"/>
    <col min="2821" max="2821" width="6.5546875" style="210" customWidth="1"/>
    <col min="2822" max="2822" width="10" style="210" customWidth="1"/>
    <col min="2823" max="2823" width="2" style="210" customWidth="1"/>
    <col min="2824" max="2824" width="20.44140625" style="210" customWidth="1"/>
    <col min="2825" max="2825" width="7.88671875" style="210" customWidth="1"/>
    <col min="2826" max="2826" width="4.44140625" style="210" customWidth="1"/>
    <col min="2827" max="2827" width="13.33203125" style="210" customWidth="1"/>
    <col min="2828" max="2828" width="11.109375" style="210" customWidth="1"/>
    <col min="2829" max="2829" width="15.44140625" style="210" customWidth="1"/>
    <col min="2830" max="3072" width="8.88671875" style="210"/>
    <col min="3073" max="3073" width="7.44140625" style="210" customWidth="1"/>
    <col min="3074" max="3074" width="9.109375" style="210" customWidth="1"/>
    <col min="3075" max="3075" width="4.88671875" style="210" customWidth="1"/>
    <col min="3076" max="3076" width="7.44140625" style="210" customWidth="1"/>
    <col min="3077" max="3077" width="6.5546875" style="210" customWidth="1"/>
    <col min="3078" max="3078" width="10" style="210" customWidth="1"/>
    <col min="3079" max="3079" width="2" style="210" customWidth="1"/>
    <col min="3080" max="3080" width="20.44140625" style="210" customWidth="1"/>
    <col min="3081" max="3081" width="7.88671875" style="210" customWidth="1"/>
    <col min="3082" max="3082" width="4.44140625" style="210" customWidth="1"/>
    <col min="3083" max="3083" width="13.33203125" style="210" customWidth="1"/>
    <col min="3084" max="3084" width="11.109375" style="210" customWidth="1"/>
    <col min="3085" max="3085" width="15.44140625" style="210" customWidth="1"/>
    <col min="3086" max="3328" width="8.88671875" style="210"/>
    <col min="3329" max="3329" width="7.44140625" style="210" customWidth="1"/>
    <col min="3330" max="3330" width="9.109375" style="210" customWidth="1"/>
    <col min="3331" max="3331" width="4.88671875" style="210" customWidth="1"/>
    <col min="3332" max="3332" width="7.44140625" style="210" customWidth="1"/>
    <col min="3333" max="3333" width="6.5546875" style="210" customWidth="1"/>
    <col min="3334" max="3334" width="10" style="210" customWidth="1"/>
    <col min="3335" max="3335" width="2" style="210" customWidth="1"/>
    <col min="3336" max="3336" width="20.44140625" style="210" customWidth="1"/>
    <col min="3337" max="3337" width="7.88671875" style="210" customWidth="1"/>
    <col min="3338" max="3338" width="4.44140625" style="210" customWidth="1"/>
    <col min="3339" max="3339" width="13.33203125" style="210" customWidth="1"/>
    <col min="3340" max="3340" width="11.109375" style="210" customWidth="1"/>
    <col min="3341" max="3341" width="15.44140625" style="210" customWidth="1"/>
    <col min="3342" max="3584" width="8.88671875" style="210"/>
    <col min="3585" max="3585" width="7.44140625" style="210" customWidth="1"/>
    <col min="3586" max="3586" width="9.109375" style="210" customWidth="1"/>
    <col min="3587" max="3587" width="4.88671875" style="210" customWidth="1"/>
    <col min="3588" max="3588" width="7.44140625" style="210" customWidth="1"/>
    <col min="3589" max="3589" width="6.5546875" style="210" customWidth="1"/>
    <col min="3590" max="3590" width="10" style="210" customWidth="1"/>
    <col min="3591" max="3591" width="2" style="210" customWidth="1"/>
    <col min="3592" max="3592" width="20.44140625" style="210" customWidth="1"/>
    <col min="3593" max="3593" width="7.88671875" style="210" customWidth="1"/>
    <col min="3594" max="3594" width="4.44140625" style="210" customWidth="1"/>
    <col min="3595" max="3595" width="13.33203125" style="210" customWidth="1"/>
    <col min="3596" max="3596" width="11.109375" style="210" customWidth="1"/>
    <col min="3597" max="3597" width="15.44140625" style="210" customWidth="1"/>
    <col min="3598" max="3840" width="8.88671875" style="210"/>
    <col min="3841" max="3841" width="7.44140625" style="210" customWidth="1"/>
    <col min="3842" max="3842" width="9.109375" style="210" customWidth="1"/>
    <col min="3843" max="3843" width="4.88671875" style="210" customWidth="1"/>
    <col min="3844" max="3844" width="7.44140625" style="210" customWidth="1"/>
    <col min="3845" max="3845" width="6.5546875" style="210" customWidth="1"/>
    <col min="3846" max="3846" width="10" style="210" customWidth="1"/>
    <col min="3847" max="3847" width="2" style="210" customWidth="1"/>
    <col min="3848" max="3848" width="20.44140625" style="210" customWidth="1"/>
    <col min="3849" max="3849" width="7.88671875" style="210" customWidth="1"/>
    <col min="3850" max="3850" width="4.44140625" style="210" customWidth="1"/>
    <col min="3851" max="3851" width="13.33203125" style="210" customWidth="1"/>
    <col min="3852" max="3852" width="11.109375" style="210" customWidth="1"/>
    <col min="3853" max="3853" width="15.44140625" style="210" customWidth="1"/>
    <col min="3854" max="4096" width="8.88671875" style="210"/>
    <col min="4097" max="4097" width="7.44140625" style="210" customWidth="1"/>
    <col min="4098" max="4098" width="9.109375" style="210" customWidth="1"/>
    <col min="4099" max="4099" width="4.88671875" style="210" customWidth="1"/>
    <col min="4100" max="4100" width="7.44140625" style="210" customWidth="1"/>
    <col min="4101" max="4101" width="6.5546875" style="210" customWidth="1"/>
    <col min="4102" max="4102" width="10" style="210" customWidth="1"/>
    <col min="4103" max="4103" width="2" style="210" customWidth="1"/>
    <col min="4104" max="4104" width="20.44140625" style="210" customWidth="1"/>
    <col min="4105" max="4105" width="7.88671875" style="210" customWidth="1"/>
    <col min="4106" max="4106" width="4.44140625" style="210" customWidth="1"/>
    <col min="4107" max="4107" width="13.33203125" style="210" customWidth="1"/>
    <col min="4108" max="4108" width="11.109375" style="210" customWidth="1"/>
    <col min="4109" max="4109" width="15.44140625" style="210" customWidth="1"/>
    <col min="4110" max="4352" width="8.88671875" style="210"/>
    <col min="4353" max="4353" width="7.44140625" style="210" customWidth="1"/>
    <col min="4354" max="4354" width="9.109375" style="210" customWidth="1"/>
    <col min="4355" max="4355" width="4.88671875" style="210" customWidth="1"/>
    <col min="4356" max="4356" width="7.44140625" style="210" customWidth="1"/>
    <col min="4357" max="4357" width="6.5546875" style="210" customWidth="1"/>
    <col min="4358" max="4358" width="10" style="210" customWidth="1"/>
    <col min="4359" max="4359" width="2" style="210" customWidth="1"/>
    <col min="4360" max="4360" width="20.44140625" style="210" customWidth="1"/>
    <col min="4361" max="4361" width="7.88671875" style="210" customWidth="1"/>
    <col min="4362" max="4362" width="4.44140625" style="210" customWidth="1"/>
    <col min="4363" max="4363" width="13.33203125" style="210" customWidth="1"/>
    <col min="4364" max="4364" width="11.109375" style="210" customWidth="1"/>
    <col min="4365" max="4365" width="15.44140625" style="210" customWidth="1"/>
    <col min="4366" max="4608" width="8.88671875" style="210"/>
    <col min="4609" max="4609" width="7.44140625" style="210" customWidth="1"/>
    <col min="4610" max="4610" width="9.109375" style="210" customWidth="1"/>
    <col min="4611" max="4611" width="4.88671875" style="210" customWidth="1"/>
    <col min="4612" max="4612" width="7.44140625" style="210" customWidth="1"/>
    <col min="4613" max="4613" width="6.5546875" style="210" customWidth="1"/>
    <col min="4614" max="4614" width="10" style="210" customWidth="1"/>
    <col min="4615" max="4615" width="2" style="210" customWidth="1"/>
    <col min="4616" max="4616" width="20.44140625" style="210" customWidth="1"/>
    <col min="4617" max="4617" width="7.88671875" style="210" customWidth="1"/>
    <col min="4618" max="4618" width="4.44140625" style="210" customWidth="1"/>
    <col min="4619" max="4619" width="13.33203125" style="210" customWidth="1"/>
    <col min="4620" max="4620" width="11.109375" style="210" customWidth="1"/>
    <col min="4621" max="4621" width="15.44140625" style="210" customWidth="1"/>
    <col min="4622" max="4864" width="8.88671875" style="210"/>
    <col min="4865" max="4865" width="7.44140625" style="210" customWidth="1"/>
    <col min="4866" max="4866" width="9.109375" style="210" customWidth="1"/>
    <col min="4867" max="4867" width="4.88671875" style="210" customWidth="1"/>
    <col min="4868" max="4868" width="7.44140625" style="210" customWidth="1"/>
    <col min="4869" max="4869" width="6.5546875" style="210" customWidth="1"/>
    <col min="4870" max="4870" width="10" style="210" customWidth="1"/>
    <col min="4871" max="4871" width="2" style="210" customWidth="1"/>
    <col min="4872" max="4872" width="20.44140625" style="210" customWidth="1"/>
    <col min="4873" max="4873" width="7.88671875" style="210" customWidth="1"/>
    <col min="4874" max="4874" width="4.44140625" style="210" customWidth="1"/>
    <col min="4875" max="4875" width="13.33203125" style="210" customWidth="1"/>
    <col min="4876" max="4876" width="11.109375" style="210" customWidth="1"/>
    <col min="4877" max="4877" width="15.44140625" style="210" customWidth="1"/>
    <col min="4878" max="5120" width="8.88671875" style="210"/>
    <col min="5121" max="5121" width="7.44140625" style="210" customWidth="1"/>
    <col min="5122" max="5122" width="9.109375" style="210" customWidth="1"/>
    <col min="5123" max="5123" width="4.88671875" style="210" customWidth="1"/>
    <col min="5124" max="5124" width="7.44140625" style="210" customWidth="1"/>
    <col min="5125" max="5125" width="6.5546875" style="210" customWidth="1"/>
    <col min="5126" max="5126" width="10" style="210" customWidth="1"/>
    <col min="5127" max="5127" width="2" style="210" customWidth="1"/>
    <col min="5128" max="5128" width="20.44140625" style="210" customWidth="1"/>
    <col min="5129" max="5129" width="7.88671875" style="210" customWidth="1"/>
    <col min="5130" max="5130" width="4.44140625" style="210" customWidth="1"/>
    <col min="5131" max="5131" width="13.33203125" style="210" customWidth="1"/>
    <col min="5132" max="5132" width="11.109375" style="210" customWidth="1"/>
    <col min="5133" max="5133" width="15.44140625" style="210" customWidth="1"/>
    <col min="5134" max="5376" width="8.88671875" style="210"/>
    <col min="5377" max="5377" width="7.44140625" style="210" customWidth="1"/>
    <col min="5378" max="5378" width="9.109375" style="210" customWidth="1"/>
    <col min="5379" max="5379" width="4.88671875" style="210" customWidth="1"/>
    <col min="5380" max="5380" width="7.44140625" style="210" customWidth="1"/>
    <col min="5381" max="5381" width="6.5546875" style="210" customWidth="1"/>
    <col min="5382" max="5382" width="10" style="210" customWidth="1"/>
    <col min="5383" max="5383" width="2" style="210" customWidth="1"/>
    <col min="5384" max="5384" width="20.44140625" style="210" customWidth="1"/>
    <col min="5385" max="5385" width="7.88671875" style="210" customWidth="1"/>
    <col min="5386" max="5386" width="4.44140625" style="210" customWidth="1"/>
    <col min="5387" max="5387" width="13.33203125" style="210" customWidth="1"/>
    <col min="5388" max="5388" width="11.109375" style="210" customWidth="1"/>
    <col min="5389" max="5389" width="15.44140625" style="210" customWidth="1"/>
    <col min="5390" max="5632" width="8.88671875" style="210"/>
    <col min="5633" max="5633" width="7.44140625" style="210" customWidth="1"/>
    <col min="5634" max="5634" width="9.109375" style="210" customWidth="1"/>
    <col min="5635" max="5635" width="4.88671875" style="210" customWidth="1"/>
    <col min="5636" max="5636" width="7.44140625" style="210" customWidth="1"/>
    <col min="5637" max="5637" width="6.5546875" style="210" customWidth="1"/>
    <col min="5638" max="5638" width="10" style="210" customWidth="1"/>
    <col min="5639" max="5639" width="2" style="210" customWidth="1"/>
    <col min="5640" max="5640" width="20.44140625" style="210" customWidth="1"/>
    <col min="5641" max="5641" width="7.88671875" style="210" customWidth="1"/>
    <col min="5642" max="5642" width="4.44140625" style="210" customWidth="1"/>
    <col min="5643" max="5643" width="13.33203125" style="210" customWidth="1"/>
    <col min="5644" max="5644" width="11.109375" style="210" customWidth="1"/>
    <col min="5645" max="5645" width="15.44140625" style="210" customWidth="1"/>
    <col min="5646" max="5888" width="8.88671875" style="210"/>
    <col min="5889" max="5889" width="7.44140625" style="210" customWidth="1"/>
    <col min="5890" max="5890" width="9.109375" style="210" customWidth="1"/>
    <col min="5891" max="5891" width="4.88671875" style="210" customWidth="1"/>
    <col min="5892" max="5892" width="7.44140625" style="210" customWidth="1"/>
    <col min="5893" max="5893" width="6.5546875" style="210" customWidth="1"/>
    <col min="5894" max="5894" width="10" style="210" customWidth="1"/>
    <col min="5895" max="5895" width="2" style="210" customWidth="1"/>
    <col min="5896" max="5896" width="20.44140625" style="210" customWidth="1"/>
    <col min="5897" max="5897" width="7.88671875" style="210" customWidth="1"/>
    <col min="5898" max="5898" width="4.44140625" style="210" customWidth="1"/>
    <col min="5899" max="5899" width="13.33203125" style="210" customWidth="1"/>
    <col min="5900" max="5900" width="11.109375" style="210" customWidth="1"/>
    <col min="5901" max="5901" width="15.44140625" style="210" customWidth="1"/>
    <col min="5902" max="6144" width="8.88671875" style="210"/>
    <col min="6145" max="6145" width="7.44140625" style="210" customWidth="1"/>
    <col min="6146" max="6146" width="9.109375" style="210" customWidth="1"/>
    <col min="6147" max="6147" width="4.88671875" style="210" customWidth="1"/>
    <col min="6148" max="6148" width="7.44140625" style="210" customWidth="1"/>
    <col min="6149" max="6149" width="6.5546875" style="210" customWidth="1"/>
    <col min="6150" max="6150" width="10" style="210" customWidth="1"/>
    <col min="6151" max="6151" width="2" style="210" customWidth="1"/>
    <col min="6152" max="6152" width="20.44140625" style="210" customWidth="1"/>
    <col min="6153" max="6153" width="7.88671875" style="210" customWidth="1"/>
    <col min="6154" max="6154" width="4.44140625" style="210" customWidth="1"/>
    <col min="6155" max="6155" width="13.33203125" style="210" customWidth="1"/>
    <col min="6156" max="6156" width="11.109375" style="210" customWidth="1"/>
    <col min="6157" max="6157" width="15.44140625" style="210" customWidth="1"/>
    <col min="6158" max="6400" width="8.88671875" style="210"/>
    <col min="6401" max="6401" width="7.44140625" style="210" customWidth="1"/>
    <col min="6402" max="6402" width="9.109375" style="210" customWidth="1"/>
    <col min="6403" max="6403" width="4.88671875" style="210" customWidth="1"/>
    <col min="6404" max="6404" width="7.44140625" style="210" customWidth="1"/>
    <col min="6405" max="6405" width="6.5546875" style="210" customWidth="1"/>
    <col min="6406" max="6406" width="10" style="210" customWidth="1"/>
    <col min="6407" max="6407" width="2" style="210" customWidth="1"/>
    <col min="6408" max="6408" width="20.44140625" style="210" customWidth="1"/>
    <col min="6409" max="6409" width="7.88671875" style="210" customWidth="1"/>
    <col min="6410" max="6410" width="4.44140625" style="210" customWidth="1"/>
    <col min="6411" max="6411" width="13.33203125" style="210" customWidth="1"/>
    <col min="6412" max="6412" width="11.109375" style="210" customWidth="1"/>
    <col min="6413" max="6413" width="15.44140625" style="210" customWidth="1"/>
    <col min="6414" max="6656" width="8.88671875" style="210"/>
    <col min="6657" max="6657" width="7.44140625" style="210" customWidth="1"/>
    <col min="6658" max="6658" width="9.109375" style="210" customWidth="1"/>
    <col min="6659" max="6659" width="4.88671875" style="210" customWidth="1"/>
    <col min="6660" max="6660" width="7.44140625" style="210" customWidth="1"/>
    <col min="6661" max="6661" width="6.5546875" style="210" customWidth="1"/>
    <col min="6662" max="6662" width="10" style="210" customWidth="1"/>
    <col min="6663" max="6663" width="2" style="210" customWidth="1"/>
    <col min="6664" max="6664" width="20.44140625" style="210" customWidth="1"/>
    <col min="6665" max="6665" width="7.88671875" style="210" customWidth="1"/>
    <col min="6666" max="6666" width="4.44140625" style="210" customWidth="1"/>
    <col min="6667" max="6667" width="13.33203125" style="210" customWidth="1"/>
    <col min="6668" max="6668" width="11.109375" style="210" customWidth="1"/>
    <col min="6669" max="6669" width="15.44140625" style="210" customWidth="1"/>
    <col min="6670" max="6912" width="8.88671875" style="210"/>
    <col min="6913" max="6913" width="7.44140625" style="210" customWidth="1"/>
    <col min="6914" max="6914" width="9.109375" style="210" customWidth="1"/>
    <col min="6915" max="6915" width="4.88671875" style="210" customWidth="1"/>
    <col min="6916" max="6916" width="7.44140625" style="210" customWidth="1"/>
    <col min="6917" max="6917" width="6.5546875" style="210" customWidth="1"/>
    <col min="6918" max="6918" width="10" style="210" customWidth="1"/>
    <col min="6919" max="6919" width="2" style="210" customWidth="1"/>
    <col min="6920" max="6920" width="20.44140625" style="210" customWidth="1"/>
    <col min="6921" max="6921" width="7.88671875" style="210" customWidth="1"/>
    <col min="6922" max="6922" width="4.44140625" style="210" customWidth="1"/>
    <col min="6923" max="6923" width="13.33203125" style="210" customWidth="1"/>
    <col min="6924" max="6924" width="11.109375" style="210" customWidth="1"/>
    <col min="6925" max="6925" width="15.44140625" style="210" customWidth="1"/>
    <col min="6926" max="7168" width="8.88671875" style="210"/>
    <col min="7169" max="7169" width="7.44140625" style="210" customWidth="1"/>
    <col min="7170" max="7170" width="9.109375" style="210" customWidth="1"/>
    <col min="7171" max="7171" width="4.88671875" style="210" customWidth="1"/>
    <col min="7172" max="7172" width="7.44140625" style="210" customWidth="1"/>
    <col min="7173" max="7173" width="6.5546875" style="210" customWidth="1"/>
    <col min="7174" max="7174" width="10" style="210" customWidth="1"/>
    <col min="7175" max="7175" width="2" style="210" customWidth="1"/>
    <col min="7176" max="7176" width="20.44140625" style="210" customWidth="1"/>
    <col min="7177" max="7177" width="7.88671875" style="210" customWidth="1"/>
    <col min="7178" max="7178" width="4.44140625" style="210" customWidth="1"/>
    <col min="7179" max="7179" width="13.33203125" style="210" customWidth="1"/>
    <col min="7180" max="7180" width="11.109375" style="210" customWidth="1"/>
    <col min="7181" max="7181" width="15.44140625" style="210" customWidth="1"/>
    <col min="7182" max="7424" width="8.88671875" style="210"/>
    <col min="7425" max="7425" width="7.44140625" style="210" customWidth="1"/>
    <col min="7426" max="7426" width="9.109375" style="210" customWidth="1"/>
    <col min="7427" max="7427" width="4.88671875" style="210" customWidth="1"/>
    <col min="7428" max="7428" width="7.44140625" style="210" customWidth="1"/>
    <col min="7429" max="7429" width="6.5546875" style="210" customWidth="1"/>
    <col min="7430" max="7430" width="10" style="210" customWidth="1"/>
    <col min="7431" max="7431" width="2" style="210" customWidth="1"/>
    <col min="7432" max="7432" width="20.44140625" style="210" customWidth="1"/>
    <col min="7433" max="7433" width="7.88671875" style="210" customWidth="1"/>
    <col min="7434" max="7434" width="4.44140625" style="210" customWidth="1"/>
    <col min="7435" max="7435" width="13.33203125" style="210" customWidth="1"/>
    <col min="7436" max="7436" width="11.109375" style="210" customWidth="1"/>
    <col min="7437" max="7437" width="15.44140625" style="210" customWidth="1"/>
    <col min="7438" max="7680" width="8.88671875" style="210"/>
    <col min="7681" max="7681" width="7.44140625" style="210" customWidth="1"/>
    <col min="7682" max="7682" width="9.109375" style="210" customWidth="1"/>
    <col min="7683" max="7683" width="4.88671875" style="210" customWidth="1"/>
    <col min="7684" max="7684" width="7.44140625" style="210" customWidth="1"/>
    <col min="7685" max="7685" width="6.5546875" style="210" customWidth="1"/>
    <col min="7686" max="7686" width="10" style="210" customWidth="1"/>
    <col min="7687" max="7687" width="2" style="210" customWidth="1"/>
    <col min="7688" max="7688" width="20.44140625" style="210" customWidth="1"/>
    <col min="7689" max="7689" width="7.88671875" style="210" customWidth="1"/>
    <col min="7690" max="7690" width="4.44140625" style="210" customWidth="1"/>
    <col min="7691" max="7691" width="13.33203125" style="210" customWidth="1"/>
    <col min="7692" max="7692" width="11.109375" style="210" customWidth="1"/>
    <col min="7693" max="7693" width="15.44140625" style="210" customWidth="1"/>
    <col min="7694" max="7936" width="8.88671875" style="210"/>
    <col min="7937" max="7937" width="7.44140625" style="210" customWidth="1"/>
    <col min="7938" max="7938" width="9.109375" style="210" customWidth="1"/>
    <col min="7939" max="7939" width="4.88671875" style="210" customWidth="1"/>
    <col min="7940" max="7940" width="7.44140625" style="210" customWidth="1"/>
    <col min="7941" max="7941" width="6.5546875" style="210" customWidth="1"/>
    <col min="7942" max="7942" width="10" style="210" customWidth="1"/>
    <col min="7943" max="7943" width="2" style="210" customWidth="1"/>
    <col min="7944" max="7944" width="20.44140625" style="210" customWidth="1"/>
    <col min="7945" max="7945" width="7.88671875" style="210" customWidth="1"/>
    <col min="7946" max="7946" width="4.44140625" style="210" customWidth="1"/>
    <col min="7947" max="7947" width="13.33203125" style="210" customWidth="1"/>
    <col min="7948" max="7948" width="11.109375" style="210" customWidth="1"/>
    <col min="7949" max="7949" width="15.44140625" style="210" customWidth="1"/>
    <col min="7950" max="8192" width="8.88671875" style="210"/>
    <col min="8193" max="8193" width="7.44140625" style="210" customWidth="1"/>
    <col min="8194" max="8194" width="9.109375" style="210" customWidth="1"/>
    <col min="8195" max="8195" width="4.88671875" style="210" customWidth="1"/>
    <col min="8196" max="8196" width="7.44140625" style="210" customWidth="1"/>
    <col min="8197" max="8197" width="6.5546875" style="210" customWidth="1"/>
    <col min="8198" max="8198" width="10" style="210" customWidth="1"/>
    <col min="8199" max="8199" width="2" style="210" customWidth="1"/>
    <col min="8200" max="8200" width="20.44140625" style="210" customWidth="1"/>
    <col min="8201" max="8201" width="7.88671875" style="210" customWidth="1"/>
    <col min="8202" max="8202" width="4.44140625" style="210" customWidth="1"/>
    <col min="8203" max="8203" width="13.33203125" style="210" customWidth="1"/>
    <col min="8204" max="8204" width="11.109375" style="210" customWidth="1"/>
    <col min="8205" max="8205" width="15.44140625" style="210" customWidth="1"/>
    <col min="8206" max="8448" width="8.88671875" style="210"/>
    <col min="8449" max="8449" width="7.44140625" style="210" customWidth="1"/>
    <col min="8450" max="8450" width="9.109375" style="210" customWidth="1"/>
    <col min="8451" max="8451" width="4.88671875" style="210" customWidth="1"/>
    <col min="8452" max="8452" width="7.44140625" style="210" customWidth="1"/>
    <col min="8453" max="8453" width="6.5546875" style="210" customWidth="1"/>
    <col min="8454" max="8454" width="10" style="210" customWidth="1"/>
    <col min="8455" max="8455" width="2" style="210" customWidth="1"/>
    <col min="8456" max="8456" width="20.44140625" style="210" customWidth="1"/>
    <col min="8457" max="8457" width="7.88671875" style="210" customWidth="1"/>
    <col min="8458" max="8458" width="4.44140625" style="210" customWidth="1"/>
    <col min="8459" max="8459" width="13.33203125" style="210" customWidth="1"/>
    <col min="8460" max="8460" width="11.109375" style="210" customWidth="1"/>
    <col min="8461" max="8461" width="15.44140625" style="210" customWidth="1"/>
    <col min="8462" max="8704" width="8.88671875" style="210"/>
    <col min="8705" max="8705" width="7.44140625" style="210" customWidth="1"/>
    <col min="8706" max="8706" width="9.109375" style="210" customWidth="1"/>
    <col min="8707" max="8707" width="4.88671875" style="210" customWidth="1"/>
    <col min="8708" max="8708" width="7.44140625" style="210" customWidth="1"/>
    <col min="8709" max="8709" width="6.5546875" style="210" customWidth="1"/>
    <col min="8710" max="8710" width="10" style="210" customWidth="1"/>
    <col min="8711" max="8711" width="2" style="210" customWidth="1"/>
    <col min="8712" max="8712" width="20.44140625" style="210" customWidth="1"/>
    <col min="8713" max="8713" width="7.88671875" style="210" customWidth="1"/>
    <col min="8714" max="8714" width="4.44140625" style="210" customWidth="1"/>
    <col min="8715" max="8715" width="13.33203125" style="210" customWidth="1"/>
    <col min="8716" max="8716" width="11.109375" style="210" customWidth="1"/>
    <col min="8717" max="8717" width="15.44140625" style="210" customWidth="1"/>
    <col min="8718" max="8960" width="8.88671875" style="210"/>
    <col min="8961" max="8961" width="7.44140625" style="210" customWidth="1"/>
    <col min="8962" max="8962" width="9.109375" style="210" customWidth="1"/>
    <col min="8963" max="8963" width="4.88671875" style="210" customWidth="1"/>
    <col min="8964" max="8964" width="7.44140625" style="210" customWidth="1"/>
    <col min="8965" max="8965" width="6.5546875" style="210" customWidth="1"/>
    <col min="8966" max="8966" width="10" style="210" customWidth="1"/>
    <col min="8967" max="8967" width="2" style="210" customWidth="1"/>
    <col min="8968" max="8968" width="20.44140625" style="210" customWidth="1"/>
    <col min="8969" max="8969" width="7.88671875" style="210" customWidth="1"/>
    <col min="8970" max="8970" width="4.44140625" style="210" customWidth="1"/>
    <col min="8971" max="8971" width="13.33203125" style="210" customWidth="1"/>
    <col min="8972" max="8972" width="11.109375" style="210" customWidth="1"/>
    <col min="8973" max="8973" width="15.44140625" style="210" customWidth="1"/>
    <col min="8974" max="9216" width="8.88671875" style="210"/>
    <col min="9217" max="9217" width="7.44140625" style="210" customWidth="1"/>
    <col min="9218" max="9218" width="9.109375" style="210" customWidth="1"/>
    <col min="9219" max="9219" width="4.88671875" style="210" customWidth="1"/>
    <col min="9220" max="9220" width="7.44140625" style="210" customWidth="1"/>
    <col min="9221" max="9221" width="6.5546875" style="210" customWidth="1"/>
    <col min="9222" max="9222" width="10" style="210" customWidth="1"/>
    <col min="9223" max="9223" width="2" style="210" customWidth="1"/>
    <col min="9224" max="9224" width="20.44140625" style="210" customWidth="1"/>
    <col min="9225" max="9225" width="7.88671875" style="210" customWidth="1"/>
    <col min="9226" max="9226" width="4.44140625" style="210" customWidth="1"/>
    <col min="9227" max="9227" width="13.33203125" style="210" customWidth="1"/>
    <col min="9228" max="9228" width="11.109375" style="210" customWidth="1"/>
    <col min="9229" max="9229" width="15.44140625" style="210" customWidth="1"/>
    <col min="9230" max="9472" width="8.88671875" style="210"/>
    <col min="9473" max="9473" width="7.44140625" style="210" customWidth="1"/>
    <col min="9474" max="9474" width="9.109375" style="210" customWidth="1"/>
    <col min="9475" max="9475" width="4.88671875" style="210" customWidth="1"/>
    <col min="9476" max="9476" width="7.44140625" style="210" customWidth="1"/>
    <col min="9477" max="9477" width="6.5546875" style="210" customWidth="1"/>
    <col min="9478" max="9478" width="10" style="210" customWidth="1"/>
    <col min="9479" max="9479" width="2" style="210" customWidth="1"/>
    <col min="9480" max="9480" width="20.44140625" style="210" customWidth="1"/>
    <col min="9481" max="9481" width="7.88671875" style="210" customWidth="1"/>
    <col min="9482" max="9482" width="4.44140625" style="210" customWidth="1"/>
    <col min="9483" max="9483" width="13.33203125" style="210" customWidth="1"/>
    <col min="9484" max="9484" width="11.109375" style="210" customWidth="1"/>
    <col min="9485" max="9485" width="15.44140625" style="210" customWidth="1"/>
    <col min="9486" max="9728" width="8.88671875" style="210"/>
    <col min="9729" max="9729" width="7.44140625" style="210" customWidth="1"/>
    <col min="9730" max="9730" width="9.109375" style="210" customWidth="1"/>
    <col min="9731" max="9731" width="4.88671875" style="210" customWidth="1"/>
    <col min="9732" max="9732" width="7.44140625" style="210" customWidth="1"/>
    <col min="9733" max="9733" width="6.5546875" style="210" customWidth="1"/>
    <col min="9734" max="9734" width="10" style="210" customWidth="1"/>
    <col min="9735" max="9735" width="2" style="210" customWidth="1"/>
    <col min="9736" max="9736" width="20.44140625" style="210" customWidth="1"/>
    <col min="9737" max="9737" width="7.88671875" style="210" customWidth="1"/>
    <col min="9738" max="9738" width="4.44140625" style="210" customWidth="1"/>
    <col min="9739" max="9739" width="13.33203125" style="210" customWidth="1"/>
    <col min="9740" max="9740" width="11.109375" style="210" customWidth="1"/>
    <col min="9741" max="9741" width="15.44140625" style="210" customWidth="1"/>
    <col min="9742" max="9984" width="8.88671875" style="210"/>
    <col min="9985" max="9985" width="7.44140625" style="210" customWidth="1"/>
    <col min="9986" max="9986" width="9.109375" style="210" customWidth="1"/>
    <col min="9987" max="9987" width="4.88671875" style="210" customWidth="1"/>
    <col min="9988" max="9988" width="7.44140625" style="210" customWidth="1"/>
    <col min="9989" max="9989" width="6.5546875" style="210" customWidth="1"/>
    <col min="9990" max="9990" width="10" style="210" customWidth="1"/>
    <col min="9991" max="9991" width="2" style="210" customWidth="1"/>
    <col min="9992" max="9992" width="20.44140625" style="210" customWidth="1"/>
    <col min="9993" max="9993" width="7.88671875" style="210" customWidth="1"/>
    <col min="9994" max="9994" width="4.44140625" style="210" customWidth="1"/>
    <col min="9995" max="9995" width="13.33203125" style="210" customWidth="1"/>
    <col min="9996" max="9996" width="11.109375" style="210" customWidth="1"/>
    <col min="9997" max="9997" width="15.44140625" style="210" customWidth="1"/>
    <col min="9998" max="10240" width="8.88671875" style="210"/>
    <col min="10241" max="10241" width="7.44140625" style="210" customWidth="1"/>
    <col min="10242" max="10242" width="9.109375" style="210" customWidth="1"/>
    <col min="10243" max="10243" width="4.88671875" style="210" customWidth="1"/>
    <col min="10244" max="10244" width="7.44140625" style="210" customWidth="1"/>
    <col min="10245" max="10245" width="6.5546875" style="210" customWidth="1"/>
    <col min="10246" max="10246" width="10" style="210" customWidth="1"/>
    <col min="10247" max="10247" width="2" style="210" customWidth="1"/>
    <col min="10248" max="10248" width="20.44140625" style="210" customWidth="1"/>
    <col min="10249" max="10249" width="7.88671875" style="210" customWidth="1"/>
    <col min="10250" max="10250" width="4.44140625" style="210" customWidth="1"/>
    <col min="10251" max="10251" width="13.33203125" style="210" customWidth="1"/>
    <col min="10252" max="10252" width="11.109375" style="210" customWidth="1"/>
    <col min="10253" max="10253" width="15.44140625" style="210" customWidth="1"/>
    <col min="10254" max="10496" width="8.88671875" style="210"/>
    <col min="10497" max="10497" width="7.44140625" style="210" customWidth="1"/>
    <col min="10498" max="10498" width="9.109375" style="210" customWidth="1"/>
    <col min="10499" max="10499" width="4.88671875" style="210" customWidth="1"/>
    <col min="10500" max="10500" width="7.44140625" style="210" customWidth="1"/>
    <col min="10501" max="10501" width="6.5546875" style="210" customWidth="1"/>
    <col min="10502" max="10502" width="10" style="210" customWidth="1"/>
    <col min="10503" max="10503" width="2" style="210" customWidth="1"/>
    <col min="10504" max="10504" width="20.44140625" style="210" customWidth="1"/>
    <col min="10505" max="10505" width="7.88671875" style="210" customWidth="1"/>
    <col min="10506" max="10506" width="4.44140625" style="210" customWidth="1"/>
    <col min="10507" max="10507" width="13.33203125" style="210" customWidth="1"/>
    <col min="10508" max="10508" width="11.109375" style="210" customWidth="1"/>
    <col min="10509" max="10509" width="15.44140625" style="210" customWidth="1"/>
    <col min="10510" max="10752" width="8.88671875" style="210"/>
    <col min="10753" max="10753" width="7.44140625" style="210" customWidth="1"/>
    <col min="10754" max="10754" width="9.109375" style="210" customWidth="1"/>
    <col min="10755" max="10755" width="4.88671875" style="210" customWidth="1"/>
    <col min="10756" max="10756" width="7.44140625" style="210" customWidth="1"/>
    <col min="10757" max="10757" width="6.5546875" style="210" customWidth="1"/>
    <col min="10758" max="10758" width="10" style="210" customWidth="1"/>
    <col min="10759" max="10759" width="2" style="210" customWidth="1"/>
    <col min="10760" max="10760" width="20.44140625" style="210" customWidth="1"/>
    <col min="10761" max="10761" width="7.88671875" style="210" customWidth="1"/>
    <col min="10762" max="10762" width="4.44140625" style="210" customWidth="1"/>
    <col min="10763" max="10763" width="13.33203125" style="210" customWidth="1"/>
    <col min="10764" max="10764" width="11.109375" style="210" customWidth="1"/>
    <col min="10765" max="10765" width="15.44140625" style="210" customWidth="1"/>
    <col min="10766" max="11008" width="8.88671875" style="210"/>
    <col min="11009" max="11009" width="7.44140625" style="210" customWidth="1"/>
    <col min="11010" max="11010" width="9.109375" style="210" customWidth="1"/>
    <col min="11011" max="11011" width="4.88671875" style="210" customWidth="1"/>
    <col min="11012" max="11012" width="7.44140625" style="210" customWidth="1"/>
    <col min="11013" max="11013" width="6.5546875" style="210" customWidth="1"/>
    <col min="11014" max="11014" width="10" style="210" customWidth="1"/>
    <col min="11015" max="11015" width="2" style="210" customWidth="1"/>
    <col min="11016" max="11016" width="20.44140625" style="210" customWidth="1"/>
    <col min="11017" max="11017" width="7.88671875" style="210" customWidth="1"/>
    <col min="11018" max="11018" width="4.44140625" style="210" customWidth="1"/>
    <col min="11019" max="11019" width="13.33203125" style="210" customWidth="1"/>
    <col min="11020" max="11020" width="11.109375" style="210" customWidth="1"/>
    <col min="11021" max="11021" width="15.44140625" style="210" customWidth="1"/>
    <col min="11022" max="11264" width="8.88671875" style="210"/>
    <col min="11265" max="11265" width="7.44140625" style="210" customWidth="1"/>
    <col min="11266" max="11266" width="9.109375" style="210" customWidth="1"/>
    <col min="11267" max="11267" width="4.88671875" style="210" customWidth="1"/>
    <col min="11268" max="11268" width="7.44140625" style="210" customWidth="1"/>
    <col min="11269" max="11269" width="6.5546875" style="210" customWidth="1"/>
    <col min="11270" max="11270" width="10" style="210" customWidth="1"/>
    <col min="11271" max="11271" width="2" style="210" customWidth="1"/>
    <col min="11272" max="11272" width="20.44140625" style="210" customWidth="1"/>
    <col min="11273" max="11273" width="7.88671875" style="210" customWidth="1"/>
    <col min="11274" max="11274" width="4.44140625" style="210" customWidth="1"/>
    <col min="11275" max="11275" width="13.33203125" style="210" customWidth="1"/>
    <col min="11276" max="11276" width="11.109375" style="210" customWidth="1"/>
    <col min="11277" max="11277" width="15.44140625" style="210" customWidth="1"/>
    <col min="11278" max="11520" width="8.88671875" style="210"/>
    <col min="11521" max="11521" width="7.44140625" style="210" customWidth="1"/>
    <col min="11522" max="11522" width="9.109375" style="210" customWidth="1"/>
    <col min="11523" max="11523" width="4.88671875" style="210" customWidth="1"/>
    <col min="11524" max="11524" width="7.44140625" style="210" customWidth="1"/>
    <col min="11525" max="11525" width="6.5546875" style="210" customWidth="1"/>
    <col min="11526" max="11526" width="10" style="210" customWidth="1"/>
    <col min="11527" max="11527" width="2" style="210" customWidth="1"/>
    <col min="11528" max="11528" width="20.44140625" style="210" customWidth="1"/>
    <col min="11529" max="11529" width="7.88671875" style="210" customWidth="1"/>
    <col min="11530" max="11530" width="4.44140625" style="210" customWidth="1"/>
    <col min="11531" max="11531" width="13.33203125" style="210" customWidth="1"/>
    <col min="11532" max="11532" width="11.109375" style="210" customWidth="1"/>
    <col min="11533" max="11533" width="15.44140625" style="210" customWidth="1"/>
    <col min="11534" max="11776" width="8.88671875" style="210"/>
    <col min="11777" max="11777" width="7.44140625" style="210" customWidth="1"/>
    <col min="11778" max="11778" width="9.109375" style="210" customWidth="1"/>
    <col min="11779" max="11779" width="4.88671875" style="210" customWidth="1"/>
    <col min="11780" max="11780" width="7.44140625" style="210" customWidth="1"/>
    <col min="11781" max="11781" width="6.5546875" style="210" customWidth="1"/>
    <col min="11782" max="11782" width="10" style="210" customWidth="1"/>
    <col min="11783" max="11783" width="2" style="210" customWidth="1"/>
    <col min="11784" max="11784" width="20.44140625" style="210" customWidth="1"/>
    <col min="11785" max="11785" width="7.88671875" style="210" customWidth="1"/>
    <col min="11786" max="11786" width="4.44140625" style="210" customWidth="1"/>
    <col min="11787" max="11787" width="13.33203125" style="210" customWidth="1"/>
    <col min="11788" max="11788" width="11.109375" style="210" customWidth="1"/>
    <col min="11789" max="11789" width="15.44140625" style="210" customWidth="1"/>
    <col min="11790" max="12032" width="8.88671875" style="210"/>
    <col min="12033" max="12033" width="7.44140625" style="210" customWidth="1"/>
    <col min="12034" max="12034" width="9.109375" style="210" customWidth="1"/>
    <col min="12035" max="12035" width="4.88671875" style="210" customWidth="1"/>
    <col min="12036" max="12036" width="7.44140625" style="210" customWidth="1"/>
    <col min="12037" max="12037" width="6.5546875" style="210" customWidth="1"/>
    <col min="12038" max="12038" width="10" style="210" customWidth="1"/>
    <col min="12039" max="12039" width="2" style="210" customWidth="1"/>
    <col min="12040" max="12040" width="20.44140625" style="210" customWidth="1"/>
    <col min="12041" max="12041" width="7.88671875" style="210" customWidth="1"/>
    <col min="12042" max="12042" width="4.44140625" style="210" customWidth="1"/>
    <col min="12043" max="12043" width="13.33203125" style="210" customWidth="1"/>
    <col min="12044" max="12044" width="11.109375" style="210" customWidth="1"/>
    <col min="12045" max="12045" width="15.44140625" style="210" customWidth="1"/>
    <col min="12046" max="12288" width="8.88671875" style="210"/>
    <col min="12289" max="12289" width="7.44140625" style="210" customWidth="1"/>
    <col min="12290" max="12290" width="9.109375" style="210" customWidth="1"/>
    <col min="12291" max="12291" width="4.88671875" style="210" customWidth="1"/>
    <col min="12292" max="12292" width="7.44140625" style="210" customWidth="1"/>
    <col min="12293" max="12293" width="6.5546875" style="210" customWidth="1"/>
    <col min="12294" max="12294" width="10" style="210" customWidth="1"/>
    <col min="12295" max="12295" width="2" style="210" customWidth="1"/>
    <col min="12296" max="12296" width="20.44140625" style="210" customWidth="1"/>
    <col min="12297" max="12297" width="7.88671875" style="210" customWidth="1"/>
    <col min="12298" max="12298" width="4.44140625" style="210" customWidth="1"/>
    <col min="12299" max="12299" width="13.33203125" style="210" customWidth="1"/>
    <col min="12300" max="12300" width="11.109375" style="210" customWidth="1"/>
    <col min="12301" max="12301" width="15.44140625" style="210" customWidth="1"/>
    <col min="12302" max="12544" width="8.88671875" style="210"/>
    <col min="12545" max="12545" width="7.44140625" style="210" customWidth="1"/>
    <col min="12546" max="12546" width="9.109375" style="210" customWidth="1"/>
    <col min="12547" max="12547" width="4.88671875" style="210" customWidth="1"/>
    <col min="12548" max="12548" width="7.44140625" style="210" customWidth="1"/>
    <col min="12549" max="12549" width="6.5546875" style="210" customWidth="1"/>
    <col min="12550" max="12550" width="10" style="210" customWidth="1"/>
    <col min="12551" max="12551" width="2" style="210" customWidth="1"/>
    <col min="12552" max="12552" width="20.44140625" style="210" customWidth="1"/>
    <col min="12553" max="12553" width="7.88671875" style="210" customWidth="1"/>
    <col min="12554" max="12554" width="4.44140625" style="210" customWidth="1"/>
    <col min="12555" max="12555" width="13.33203125" style="210" customWidth="1"/>
    <col min="12556" max="12556" width="11.109375" style="210" customWidth="1"/>
    <col min="12557" max="12557" width="15.44140625" style="210" customWidth="1"/>
    <col min="12558" max="12800" width="8.88671875" style="210"/>
    <col min="12801" max="12801" width="7.44140625" style="210" customWidth="1"/>
    <col min="12802" max="12802" width="9.109375" style="210" customWidth="1"/>
    <col min="12803" max="12803" width="4.88671875" style="210" customWidth="1"/>
    <col min="12804" max="12804" width="7.44140625" style="210" customWidth="1"/>
    <col min="12805" max="12805" width="6.5546875" style="210" customWidth="1"/>
    <col min="12806" max="12806" width="10" style="210" customWidth="1"/>
    <col min="12807" max="12807" width="2" style="210" customWidth="1"/>
    <col min="12808" max="12808" width="20.44140625" style="210" customWidth="1"/>
    <col min="12809" max="12809" width="7.88671875" style="210" customWidth="1"/>
    <col min="12810" max="12810" width="4.44140625" style="210" customWidth="1"/>
    <col min="12811" max="12811" width="13.33203125" style="210" customWidth="1"/>
    <col min="12812" max="12812" width="11.109375" style="210" customWidth="1"/>
    <col min="12813" max="12813" width="15.44140625" style="210" customWidth="1"/>
    <col min="12814" max="13056" width="8.88671875" style="210"/>
    <col min="13057" max="13057" width="7.44140625" style="210" customWidth="1"/>
    <col min="13058" max="13058" width="9.109375" style="210" customWidth="1"/>
    <col min="13059" max="13059" width="4.88671875" style="210" customWidth="1"/>
    <col min="13060" max="13060" width="7.44140625" style="210" customWidth="1"/>
    <col min="13061" max="13061" width="6.5546875" style="210" customWidth="1"/>
    <col min="13062" max="13062" width="10" style="210" customWidth="1"/>
    <col min="13063" max="13063" width="2" style="210" customWidth="1"/>
    <col min="13064" max="13064" width="20.44140625" style="210" customWidth="1"/>
    <col min="13065" max="13065" width="7.88671875" style="210" customWidth="1"/>
    <col min="13066" max="13066" width="4.44140625" style="210" customWidth="1"/>
    <col min="13067" max="13067" width="13.33203125" style="210" customWidth="1"/>
    <col min="13068" max="13068" width="11.109375" style="210" customWidth="1"/>
    <col min="13069" max="13069" width="15.44140625" style="210" customWidth="1"/>
    <col min="13070" max="13312" width="8.88671875" style="210"/>
    <col min="13313" max="13313" width="7.44140625" style="210" customWidth="1"/>
    <col min="13314" max="13314" width="9.109375" style="210" customWidth="1"/>
    <col min="13315" max="13315" width="4.88671875" style="210" customWidth="1"/>
    <col min="13316" max="13316" width="7.44140625" style="210" customWidth="1"/>
    <col min="13317" max="13317" width="6.5546875" style="210" customWidth="1"/>
    <col min="13318" max="13318" width="10" style="210" customWidth="1"/>
    <col min="13319" max="13319" width="2" style="210" customWidth="1"/>
    <col min="13320" max="13320" width="20.44140625" style="210" customWidth="1"/>
    <col min="13321" max="13321" width="7.88671875" style="210" customWidth="1"/>
    <col min="13322" max="13322" width="4.44140625" style="210" customWidth="1"/>
    <col min="13323" max="13323" width="13.33203125" style="210" customWidth="1"/>
    <col min="13324" max="13324" width="11.109375" style="210" customWidth="1"/>
    <col min="13325" max="13325" width="15.44140625" style="210" customWidth="1"/>
    <col min="13326" max="13568" width="8.88671875" style="210"/>
    <col min="13569" max="13569" width="7.44140625" style="210" customWidth="1"/>
    <col min="13570" max="13570" width="9.109375" style="210" customWidth="1"/>
    <col min="13571" max="13571" width="4.88671875" style="210" customWidth="1"/>
    <col min="13572" max="13572" width="7.44140625" style="210" customWidth="1"/>
    <col min="13573" max="13573" width="6.5546875" style="210" customWidth="1"/>
    <col min="13574" max="13574" width="10" style="210" customWidth="1"/>
    <col min="13575" max="13575" width="2" style="210" customWidth="1"/>
    <col min="13576" max="13576" width="20.44140625" style="210" customWidth="1"/>
    <col min="13577" max="13577" width="7.88671875" style="210" customWidth="1"/>
    <col min="13578" max="13578" width="4.44140625" style="210" customWidth="1"/>
    <col min="13579" max="13579" width="13.33203125" style="210" customWidth="1"/>
    <col min="13580" max="13580" width="11.109375" style="210" customWidth="1"/>
    <col min="13581" max="13581" width="15.44140625" style="210" customWidth="1"/>
    <col min="13582" max="13824" width="8.88671875" style="210"/>
    <col min="13825" max="13825" width="7.44140625" style="210" customWidth="1"/>
    <col min="13826" max="13826" width="9.109375" style="210" customWidth="1"/>
    <col min="13827" max="13827" width="4.88671875" style="210" customWidth="1"/>
    <col min="13828" max="13828" width="7.44140625" style="210" customWidth="1"/>
    <col min="13829" max="13829" width="6.5546875" style="210" customWidth="1"/>
    <col min="13830" max="13830" width="10" style="210" customWidth="1"/>
    <col min="13831" max="13831" width="2" style="210" customWidth="1"/>
    <col min="13832" max="13832" width="20.44140625" style="210" customWidth="1"/>
    <col min="13833" max="13833" width="7.88671875" style="210" customWidth="1"/>
    <col min="13834" max="13834" width="4.44140625" style="210" customWidth="1"/>
    <col min="13835" max="13835" width="13.33203125" style="210" customWidth="1"/>
    <col min="13836" max="13836" width="11.109375" style="210" customWidth="1"/>
    <col min="13837" max="13837" width="15.44140625" style="210" customWidth="1"/>
    <col min="13838" max="14080" width="8.88671875" style="210"/>
    <col min="14081" max="14081" width="7.44140625" style="210" customWidth="1"/>
    <col min="14082" max="14082" width="9.109375" style="210" customWidth="1"/>
    <col min="14083" max="14083" width="4.88671875" style="210" customWidth="1"/>
    <col min="14084" max="14084" width="7.44140625" style="210" customWidth="1"/>
    <col min="14085" max="14085" width="6.5546875" style="210" customWidth="1"/>
    <col min="14086" max="14086" width="10" style="210" customWidth="1"/>
    <col min="14087" max="14087" width="2" style="210" customWidth="1"/>
    <col min="14088" max="14088" width="20.44140625" style="210" customWidth="1"/>
    <col min="14089" max="14089" width="7.88671875" style="210" customWidth="1"/>
    <col min="14090" max="14090" width="4.44140625" style="210" customWidth="1"/>
    <col min="14091" max="14091" width="13.33203125" style="210" customWidth="1"/>
    <col min="14092" max="14092" width="11.109375" style="210" customWidth="1"/>
    <col min="14093" max="14093" width="15.44140625" style="210" customWidth="1"/>
    <col min="14094" max="14336" width="8.88671875" style="210"/>
    <col min="14337" max="14337" width="7.44140625" style="210" customWidth="1"/>
    <col min="14338" max="14338" width="9.109375" style="210" customWidth="1"/>
    <col min="14339" max="14339" width="4.88671875" style="210" customWidth="1"/>
    <col min="14340" max="14340" width="7.44140625" style="210" customWidth="1"/>
    <col min="14341" max="14341" width="6.5546875" style="210" customWidth="1"/>
    <col min="14342" max="14342" width="10" style="210" customWidth="1"/>
    <col min="14343" max="14343" width="2" style="210" customWidth="1"/>
    <col min="14344" max="14344" width="20.44140625" style="210" customWidth="1"/>
    <col min="14345" max="14345" width="7.88671875" style="210" customWidth="1"/>
    <col min="14346" max="14346" width="4.44140625" style="210" customWidth="1"/>
    <col min="14347" max="14347" width="13.33203125" style="210" customWidth="1"/>
    <col min="14348" max="14348" width="11.109375" style="210" customWidth="1"/>
    <col min="14349" max="14349" width="15.44140625" style="210" customWidth="1"/>
    <col min="14350" max="14592" width="8.88671875" style="210"/>
    <col min="14593" max="14593" width="7.44140625" style="210" customWidth="1"/>
    <col min="14594" max="14594" width="9.109375" style="210" customWidth="1"/>
    <col min="14595" max="14595" width="4.88671875" style="210" customWidth="1"/>
    <col min="14596" max="14596" width="7.44140625" style="210" customWidth="1"/>
    <col min="14597" max="14597" width="6.5546875" style="210" customWidth="1"/>
    <col min="14598" max="14598" width="10" style="210" customWidth="1"/>
    <col min="14599" max="14599" width="2" style="210" customWidth="1"/>
    <col min="14600" max="14600" width="20.44140625" style="210" customWidth="1"/>
    <col min="14601" max="14601" width="7.88671875" style="210" customWidth="1"/>
    <col min="14602" max="14602" width="4.44140625" style="210" customWidth="1"/>
    <col min="14603" max="14603" width="13.33203125" style="210" customWidth="1"/>
    <col min="14604" max="14604" width="11.109375" style="210" customWidth="1"/>
    <col min="14605" max="14605" width="15.44140625" style="210" customWidth="1"/>
    <col min="14606" max="14848" width="8.88671875" style="210"/>
    <col min="14849" max="14849" width="7.44140625" style="210" customWidth="1"/>
    <col min="14850" max="14850" width="9.109375" style="210" customWidth="1"/>
    <col min="14851" max="14851" width="4.88671875" style="210" customWidth="1"/>
    <col min="14852" max="14852" width="7.44140625" style="210" customWidth="1"/>
    <col min="14853" max="14853" width="6.5546875" style="210" customWidth="1"/>
    <col min="14854" max="14854" width="10" style="210" customWidth="1"/>
    <col min="14855" max="14855" width="2" style="210" customWidth="1"/>
    <col min="14856" max="14856" width="20.44140625" style="210" customWidth="1"/>
    <col min="14857" max="14857" width="7.88671875" style="210" customWidth="1"/>
    <col min="14858" max="14858" width="4.44140625" style="210" customWidth="1"/>
    <col min="14859" max="14859" width="13.33203125" style="210" customWidth="1"/>
    <col min="14860" max="14860" width="11.109375" style="210" customWidth="1"/>
    <col min="14861" max="14861" width="15.44140625" style="210" customWidth="1"/>
    <col min="14862" max="15104" width="8.88671875" style="210"/>
    <col min="15105" max="15105" width="7.44140625" style="210" customWidth="1"/>
    <col min="15106" max="15106" width="9.109375" style="210" customWidth="1"/>
    <col min="15107" max="15107" width="4.88671875" style="210" customWidth="1"/>
    <col min="15108" max="15108" width="7.44140625" style="210" customWidth="1"/>
    <col min="15109" max="15109" width="6.5546875" style="210" customWidth="1"/>
    <col min="15110" max="15110" width="10" style="210" customWidth="1"/>
    <col min="15111" max="15111" width="2" style="210" customWidth="1"/>
    <col min="15112" max="15112" width="20.44140625" style="210" customWidth="1"/>
    <col min="15113" max="15113" width="7.88671875" style="210" customWidth="1"/>
    <col min="15114" max="15114" width="4.44140625" style="210" customWidth="1"/>
    <col min="15115" max="15115" width="13.33203125" style="210" customWidth="1"/>
    <col min="15116" max="15116" width="11.109375" style="210" customWidth="1"/>
    <col min="15117" max="15117" width="15.44140625" style="210" customWidth="1"/>
    <col min="15118" max="15360" width="8.88671875" style="210"/>
    <col min="15361" max="15361" width="7.44140625" style="210" customWidth="1"/>
    <col min="15362" max="15362" width="9.109375" style="210" customWidth="1"/>
    <col min="15363" max="15363" width="4.88671875" style="210" customWidth="1"/>
    <col min="15364" max="15364" width="7.44140625" style="210" customWidth="1"/>
    <col min="15365" max="15365" width="6.5546875" style="210" customWidth="1"/>
    <col min="15366" max="15366" width="10" style="210" customWidth="1"/>
    <col min="15367" max="15367" width="2" style="210" customWidth="1"/>
    <col min="15368" max="15368" width="20.44140625" style="210" customWidth="1"/>
    <col min="15369" max="15369" width="7.88671875" style="210" customWidth="1"/>
    <col min="15370" max="15370" width="4.44140625" style="210" customWidth="1"/>
    <col min="15371" max="15371" width="13.33203125" style="210" customWidth="1"/>
    <col min="15372" max="15372" width="11.109375" style="210" customWidth="1"/>
    <col min="15373" max="15373" width="15.44140625" style="210" customWidth="1"/>
    <col min="15374" max="15616" width="8.88671875" style="210"/>
    <col min="15617" max="15617" width="7.44140625" style="210" customWidth="1"/>
    <col min="15618" max="15618" width="9.109375" style="210" customWidth="1"/>
    <col min="15619" max="15619" width="4.88671875" style="210" customWidth="1"/>
    <col min="15620" max="15620" width="7.44140625" style="210" customWidth="1"/>
    <col min="15621" max="15621" width="6.5546875" style="210" customWidth="1"/>
    <col min="15622" max="15622" width="10" style="210" customWidth="1"/>
    <col min="15623" max="15623" width="2" style="210" customWidth="1"/>
    <col min="15624" max="15624" width="20.44140625" style="210" customWidth="1"/>
    <col min="15625" max="15625" width="7.88671875" style="210" customWidth="1"/>
    <col min="15626" max="15626" width="4.44140625" style="210" customWidth="1"/>
    <col min="15627" max="15627" width="13.33203125" style="210" customWidth="1"/>
    <col min="15628" max="15628" width="11.109375" style="210" customWidth="1"/>
    <col min="15629" max="15629" width="15.44140625" style="210" customWidth="1"/>
    <col min="15630" max="15872" width="8.88671875" style="210"/>
    <col min="15873" max="15873" width="7.44140625" style="210" customWidth="1"/>
    <col min="15874" max="15874" width="9.109375" style="210" customWidth="1"/>
    <col min="15875" max="15875" width="4.88671875" style="210" customWidth="1"/>
    <col min="15876" max="15876" width="7.44140625" style="210" customWidth="1"/>
    <col min="15877" max="15877" width="6.5546875" style="210" customWidth="1"/>
    <col min="15878" max="15878" width="10" style="210" customWidth="1"/>
    <col min="15879" max="15879" width="2" style="210" customWidth="1"/>
    <col min="15880" max="15880" width="20.44140625" style="210" customWidth="1"/>
    <col min="15881" max="15881" width="7.88671875" style="210" customWidth="1"/>
    <col min="15882" max="15882" width="4.44140625" style="210" customWidth="1"/>
    <col min="15883" max="15883" width="13.33203125" style="210" customWidth="1"/>
    <col min="15884" max="15884" width="11.109375" style="210" customWidth="1"/>
    <col min="15885" max="15885" width="15.44140625" style="210" customWidth="1"/>
    <col min="15886" max="16128" width="8.88671875" style="210"/>
    <col min="16129" max="16129" width="7.44140625" style="210" customWidth="1"/>
    <col min="16130" max="16130" width="9.109375" style="210" customWidth="1"/>
    <col min="16131" max="16131" width="4.88671875" style="210" customWidth="1"/>
    <col min="16132" max="16132" width="7.44140625" style="210" customWidth="1"/>
    <col min="16133" max="16133" width="6.5546875" style="210" customWidth="1"/>
    <col min="16134" max="16134" width="10" style="210" customWidth="1"/>
    <col min="16135" max="16135" width="2" style="210" customWidth="1"/>
    <col min="16136" max="16136" width="20.44140625" style="210" customWidth="1"/>
    <col min="16137" max="16137" width="7.88671875" style="210" customWidth="1"/>
    <col min="16138" max="16138" width="4.44140625" style="210" customWidth="1"/>
    <col min="16139" max="16139" width="13.33203125" style="210" customWidth="1"/>
    <col min="16140" max="16140" width="11.109375" style="210" customWidth="1"/>
    <col min="16141" max="16141" width="15.44140625" style="210" customWidth="1"/>
    <col min="16142" max="16384" width="8.88671875" style="210"/>
  </cols>
  <sheetData>
    <row r="1" spans="1:13" ht="27" customHeight="1">
      <c r="A1" s="209"/>
      <c r="B1" s="209"/>
      <c r="C1" s="209"/>
      <c r="D1" s="209"/>
      <c r="E1" s="209"/>
      <c r="F1" s="209"/>
      <c r="G1" s="209"/>
      <c r="H1" s="209"/>
      <c r="I1" s="209"/>
      <c r="J1" s="209"/>
      <c r="K1" s="209"/>
      <c r="L1" s="665" t="s">
        <v>231</v>
      </c>
      <c r="M1" s="665"/>
    </row>
    <row r="2" spans="1:13" ht="15" customHeight="1" thickBot="1">
      <c r="A2" s="209"/>
      <c r="B2" s="209"/>
      <c r="C2" s="209"/>
      <c r="D2" s="209"/>
      <c r="E2" s="209"/>
      <c r="F2" s="209"/>
      <c r="G2" s="209"/>
      <c r="H2" s="209"/>
      <c r="I2" s="209"/>
      <c r="J2" s="209"/>
      <c r="K2" s="209"/>
      <c r="L2" s="339"/>
      <c r="M2" s="339"/>
    </row>
    <row r="3" spans="1:13" ht="24.75" customHeight="1">
      <c r="A3" s="666"/>
      <c r="B3" s="667"/>
      <c r="C3" s="667"/>
      <c r="D3" s="667"/>
      <c r="E3" s="667"/>
      <c r="F3" s="667"/>
      <c r="G3" s="667"/>
      <c r="H3" s="667"/>
      <c r="I3" s="667"/>
      <c r="J3" s="668"/>
      <c r="K3" s="669"/>
      <c r="L3" s="670"/>
      <c r="M3" s="671"/>
    </row>
    <row r="4" spans="1:13" ht="24.75" customHeight="1">
      <c r="A4" s="672" t="s">
        <v>232</v>
      </c>
      <c r="B4" s="673"/>
      <c r="C4" s="673"/>
      <c r="D4" s="673"/>
      <c r="E4" s="673"/>
      <c r="F4" s="673"/>
      <c r="G4" s="673"/>
      <c r="H4" s="673"/>
      <c r="I4" s="673"/>
      <c r="J4" s="674"/>
      <c r="K4" s="662" t="s">
        <v>147</v>
      </c>
      <c r="L4" s="663"/>
      <c r="M4" s="664"/>
    </row>
    <row r="5" spans="1:13" ht="17.25" customHeight="1">
      <c r="A5" s="659" t="s">
        <v>1</v>
      </c>
      <c r="B5" s="660"/>
      <c r="C5" s="660"/>
      <c r="D5" s="660"/>
      <c r="E5" s="660"/>
      <c r="F5" s="660"/>
      <c r="G5" s="660"/>
      <c r="H5" s="660"/>
      <c r="I5" s="660"/>
      <c r="J5" s="661"/>
      <c r="K5" s="662" t="s">
        <v>148</v>
      </c>
      <c r="L5" s="663"/>
      <c r="M5" s="664"/>
    </row>
    <row r="6" spans="1:13" ht="17.25" customHeight="1">
      <c r="A6" s="659" t="s">
        <v>3</v>
      </c>
      <c r="B6" s="660"/>
      <c r="C6" s="660"/>
      <c r="D6" s="660"/>
      <c r="E6" s="660"/>
      <c r="F6" s="660"/>
      <c r="G6" s="660"/>
      <c r="H6" s="660"/>
      <c r="I6" s="660"/>
      <c r="J6" s="661"/>
      <c r="K6" s="662" t="s">
        <v>149</v>
      </c>
      <c r="L6" s="663"/>
      <c r="M6" s="664"/>
    </row>
    <row r="7" spans="1:13" ht="20.25" customHeight="1" thickBot="1">
      <c r="A7" s="675"/>
      <c r="B7" s="676"/>
      <c r="C7" s="676"/>
      <c r="D7" s="676"/>
      <c r="E7" s="676"/>
      <c r="F7" s="676"/>
      <c r="G7" s="676"/>
      <c r="H7" s="676"/>
      <c r="I7" s="676"/>
      <c r="J7" s="677"/>
      <c r="K7" s="678"/>
      <c r="L7" s="679"/>
      <c r="M7" s="680"/>
    </row>
    <row r="8" spans="1:13" ht="12.75" customHeight="1">
      <c r="A8" s="681" t="s">
        <v>14</v>
      </c>
      <c r="B8" s="682"/>
      <c r="C8" s="683"/>
      <c r="D8" s="687" t="str">
        <f>'DV (2)'!E11</f>
        <v>ROGER E. AMOLATO</v>
      </c>
      <c r="E8" s="688"/>
      <c r="F8" s="688"/>
      <c r="G8" s="688"/>
      <c r="H8" s="688"/>
      <c r="I8" s="688"/>
      <c r="J8" s="688"/>
      <c r="K8" s="688"/>
      <c r="L8" s="688"/>
      <c r="M8" s="689"/>
    </row>
    <row r="9" spans="1:13" ht="12.75" customHeight="1">
      <c r="A9" s="684"/>
      <c r="B9" s="685"/>
      <c r="C9" s="686"/>
      <c r="D9" s="690"/>
      <c r="E9" s="691"/>
      <c r="F9" s="691"/>
      <c r="G9" s="691"/>
      <c r="H9" s="691"/>
      <c r="I9" s="691"/>
      <c r="J9" s="691"/>
      <c r="K9" s="691"/>
      <c r="L9" s="691"/>
      <c r="M9" s="692"/>
    </row>
    <row r="10" spans="1:13" ht="12.75" customHeight="1">
      <c r="A10" s="693" t="s">
        <v>64</v>
      </c>
      <c r="B10" s="694"/>
      <c r="C10" s="695"/>
      <c r="D10" s="900" t="s">
        <v>161</v>
      </c>
      <c r="E10" s="901"/>
      <c r="F10" s="901"/>
      <c r="G10" s="901"/>
      <c r="H10" s="901"/>
      <c r="I10" s="901"/>
      <c r="J10" s="901"/>
      <c r="K10" s="901"/>
      <c r="L10" s="901"/>
      <c r="M10" s="902"/>
    </row>
    <row r="11" spans="1:13" ht="12.75" customHeight="1">
      <c r="A11" s="684"/>
      <c r="B11" s="685"/>
      <c r="C11" s="686"/>
      <c r="D11" s="903"/>
      <c r="E11" s="904"/>
      <c r="F11" s="904"/>
      <c r="G11" s="904"/>
      <c r="H11" s="904"/>
      <c r="I11" s="904"/>
      <c r="J11" s="904"/>
      <c r="K11" s="904"/>
      <c r="L11" s="904"/>
      <c r="M11" s="905"/>
    </row>
    <row r="12" spans="1:13" ht="12.75" customHeight="1">
      <c r="A12" s="693" t="s">
        <v>17</v>
      </c>
      <c r="B12" s="694"/>
      <c r="C12" s="695"/>
      <c r="D12" s="705" t="s">
        <v>18</v>
      </c>
      <c r="E12" s="706"/>
      <c r="F12" s="706"/>
      <c r="G12" s="706"/>
      <c r="H12" s="706"/>
      <c r="I12" s="706"/>
      <c r="J12" s="706"/>
      <c r="K12" s="706"/>
      <c r="L12" s="706"/>
      <c r="M12" s="707"/>
    </row>
    <row r="13" spans="1:13" ht="13.5" customHeight="1" thickBot="1">
      <c r="A13" s="702"/>
      <c r="B13" s="703"/>
      <c r="C13" s="704"/>
      <c r="D13" s="708"/>
      <c r="E13" s="679"/>
      <c r="F13" s="679"/>
      <c r="G13" s="679"/>
      <c r="H13" s="679"/>
      <c r="I13" s="679"/>
      <c r="J13" s="679"/>
      <c r="K13" s="679"/>
      <c r="L13" s="679"/>
      <c r="M13" s="680"/>
    </row>
    <row r="14" spans="1:13" ht="12.75" customHeight="1">
      <c r="A14" s="681" t="s">
        <v>20</v>
      </c>
      <c r="B14" s="682"/>
      <c r="C14" s="683"/>
      <c r="D14" s="709" t="s">
        <v>19</v>
      </c>
      <c r="E14" s="710"/>
      <c r="F14" s="710"/>
      <c r="G14" s="710"/>
      <c r="H14" s="711"/>
      <c r="I14" s="715" t="s">
        <v>21</v>
      </c>
      <c r="J14" s="716"/>
      <c r="K14" s="719" t="s">
        <v>66</v>
      </c>
      <c r="L14" s="709" t="s">
        <v>22</v>
      </c>
      <c r="M14" s="721"/>
    </row>
    <row r="15" spans="1:13" ht="37.200000000000003" customHeight="1" thickBot="1">
      <c r="A15" s="684"/>
      <c r="B15" s="685"/>
      <c r="C15" s="686"/>
      <c r="D15" s="712"/>
      <c r="E15" s="713"/>
      <c r="F15" s="713"/>
      <c r="G15" s="713"/>
      <c r="H15" s="714"/>
      <c r="I15" s="717"/>
      <c r="J15" s="718"/>
      <c r="K15" s="720"/>
      <c r="L15" s="722"/>
      <c r="M15" s="723"/>
    </row>
    <row r="16" spans="1:13" ht="12.75" customHeight="1">
      <c r="A16" s="212"/>
      <c r="B16" s="213"/>
      <c r="C16" s="214"/>
      <c r="D16" s="265">
        <v>2023</v>
      </c>
      <c r="E16" s="263"/>
      <c r="F16" s="263"/>
      <c r="G16" s="263"/>
      <c r="H16" s="263"/>
      <c r="I16" s="215"/>
      <c r="J16" s="214"/>
      <c r="K16" s="216"/>
      <c r="L16" s="732"/>
      <c r="M16" s="733"/>
    </row>
    <row r="17" spans="1:13" ht="12.75" customHeight="1">
      <c r="A17" s="734"/>
      <c r="B17" s="730"/>
      <c r="C17" s="735"/>
      <c r="D17" s="808" t="str">
        <f>'DV (2)'!A17 &amp; CHAR(10) &amp;""</f>
        <v xml:space="preserve">Reimbursement of the travelling expenses to attend the Solidarity Meeting and Submission of Lacking Documents for the University Paugnat and Pasundayag Festival 2025 on October 30, 2025, at the BISU Main Campus Activity Center, Tagbilaran City, Bohol.
</v>
      </c>
      <c r="E17" s="809"/>
      <c r="F17" s="809"/>
      <c r="G17" s="809"/>
      <c r="H17" s="810"/>
      <c r="I17" s="739"/>
      <c r="J17" s="740"/>
      <c r="K17" s="286"/>
      <c r="L17" s="741"/>
      <c r="M17" s="742"/>
    </row>
    <row r="18" spans="1:13" ht="12.75" customHeight="1">
      <c r="A18" s="343"/>
      <c r="B18" s="340"/>
      <c r="C18" s="344"/>
      <c r="D18" s="808"/>
      <c r="E18" s="809"/>
      <c r="F18" s="809"/>
      <c r="G18" s="809"/>
      <c r="H18" s="810"/>
      <c r="I18" s="739"/>
      <c r="J18" s="740"/>
      <c r="K18" s="289"/>
      <c r="L18" s="345"/>
      <c r="M18" s="346"/>
    </row>
    <row r="19" spans="1:13" ht="12.75" customHeight="1">
      <c r="A19" s="343"/>
      <c r="B19" s="340"/>
      <c r="C19" s="344"/>
      <c r="D19" s="808"/>
      <c r="E19" s="809"/>
      <c r="F19" s="809"/>
      <c r="G19" s="809"/>
      <c r="H19" s="810"/>
      <c r="I19" s="739"/>
      <c r="J19" s="740"/>
      <c r="K19" s="286"/>
      <c r="L19" s="345"/>
      <c r="M19" s="346"/>
    </row>
    <row r="20" spans="1:13" ht="12.75" customHeight="1">
      <c r="A20" s="224"/>
      <c r="B20" s="209"/>
      <c r="C20" s="225"/>
      <c r="D20" s="808"/>
      <c r="E20" s="809"/>
      <c r="F20" s="809"/>
      <c r="G20" s="809"/>
      <c r="H20" s="810"/>
      <c r="I20" s="287"/>
      <c r="J20" s="288"/>
      <c r="K20" s="286"/>
      <c r="L20" s="743">
        <f>'DV (2)'!AE26</f>
        <v>540</v>
      </c>
      <c r="M20" s="744"/>
    </row>
    <row r="21" spans="1:13" ht="12.75" customHeight="1">
      <c r="A21" s="224"/>
      <c r="B21" s="209"/>
      <c r="C21" s="225"/>
      <c r="D21" s="808"/>
      <c r="E21" s="809"/>
      <c r="F21" s="809"/>
      <c r="G21" s="809"/>
      <c r="H21" s="810"/>
      <c r="I21" s="217"/>
      <c r="J21" s="225"/>
      <c r="K21" s="218"/>
      <c r="L21" s="745"/>
      <c r="M21" s="746"/>
    </row>
    <row r="22" spans="1:13" ht="13.8">
      <c r="A22" s="224"/>
      <c r="B22" s="209" t="s">
        <v>68</v>
      </c>
      <c r="C22" s="225"/>
      <c r="D22" s="808"/>
      <c r="E22" s="809"/>
      <c r="F22" s="809"/>
      <c r="G22" s="809"/>
      <c r="H22" s="810"/>
      <c r="I22" s="217"/>
      <c r="J22" s="225"/>
      <c r="K22" s="227"/>
      <c r="L22" s="745"/>
      <c r="M22" s="746"/>
    </row>
    <row r="23" spans="1:13" ht="13.8">
      <c r="A23" s="224"/>
      <c r="B23" s="209"/>
      <c r="C23" s="225"/>
      <c r="D23" s="808"/>
      <c r="E23" s="809"/>
      <c r="F23" s="809"/>
      <c r="G23" s="809"/>
      <c r="H23" s="810"/>
      <c r="I23" s="217"/>
      <c r="J23" s="225"/>
      <c r="K23" s="227"/>
      <c r="L23" s="745"/>
      <c r="M23" s="746"/>
    </row>
    <row r="24" spans="1:13" ht="43.5" customHeight="1">
      <c r="A24" s="224"/>
      <c r="B24" s="209"/>
      <c r="C24" s="225"/>
      <c r="D24" s="808"/>
      <c r="E24" s="809"/>
      <c r="F24" s="809"/>
      <c r="G24" s="809"/>
      <c r="H24" s="810"/>
      <c r="I24" s="217"/>
      <c r="J24" s="225"/>
      <c r="K24" s="227"/>
      <c r="L24" s="745"/>
      <c r="M24" s="746"/>
    </row>
    <row r="25" spans="1:13" ht="16.5" customHeight="1" thickBot="1">
      <c r="A25" s="228"/>
      <c r="B25" s="229"/>
      <c r="C25" s="230"/>
      <c r="D25" s="749" t="s">
        <v>70</v>
      </c>
      <c r="E25" s="750"/>
      <c r="F25" s="750"/>
      <c r="G25" s="750"/>
      <c r="H25" s="751"/>
      <c r="I25" s="231"/>
      <c r="J25" s="230"/>
      <c r="K25" s="230"/>
      <c r="L25" s="752">
        <f>L20</f>
        <v>540</v>
      </c>
      <c r="M25" s="753"/>
    </row>
    <row r="26" spans="1:13" ht="9" customHeight="1">
      <c r="A26" s="724" t="s">
        <v>26</v>
      </c>
      <c r="B26" s="232"/>
      <c r="C26" s="233"/>
      <c r="D26" s="342"/>
      <c r="E26" s="235"/>
      <c r="F26" s="235"/>
      <c r="G26" s="235"/>
      <c r="H26" s="236"/>
      <c r="I26" s="726" t="s">
        <v>30</v>
      </c>
      <c r="J26" s="237"/>
      <c r="K26" s="233"/>
      <c r="L26" s="209"/>
      <c r="M26" s="238"/>
    </row>
    <row r="27" spans="1:13" ht="14.25" customHeight="1">
      <c r="A27" s="725"/>
      <c r="B27" s="728" t="s">
        <v>37</v>
      </c>
      <c r="C27" s="729"/>
      <c r="D27" s="730" t="s">
        <v>150</v>
      </c>
      <c r="E27" s="730"/>
      <c r="F27" s="730"/>
      <c r="G27" s="730"/>
      <c r="H27" s="731"/>
      <c r="I27" s="727"/>
      <c r="J27" s="239" t="s">
        <v>151</v>
      </c>
      <c r="K27" s="209"/>
      <c r="L27" s="209"/>
      <c r="M27" s="238"/>
    </row>
    <row r="28" spans="1:13" ht="13.8">
      <c r="A28" s="240"/>
      <c r="B28" s="209" t="s">
        <v>152</v>
      </c>
      <c r="C28" s="209"/>
      <c r="D28" s="209"/>
      <c r="E28" s="209"/>
      <c r="F28" s="209"/>
      <c r="G28" s="209"/>
      <c r="H28" s="238"/>
      <c r="I28" s="224"/>
      <c r="J28" s="209" t="s">
        <v>153</v>
      </c>
      <c r="K28" s="209"/>
      <c r="L28" s="209"/>
      <c r="M28" s="238"/>
    </row>
    <row r="29" spans="1:13" ht="13.8">
      <c r="A29" s="754"/>
      <c r="B29" s="209" t="s">
        <v>154</v>
      </c>
      <c r="C29" s="209"/>
      <c r="D29" s="209"/>
      <c r="E29" s="209"/>
      <c r="F29" s="209"/>
      <c r="G29" s="209"/>
      <c r="H29" s="238"/>
      <c r="I29" s="209"/>
      <c r="J29" s="209" t="s">
        <v>77</v>
      </c>
      <c r="K29" s="209"/>
      <c r="L29" s="209"/>
      <c r="M29" s="238"/>
    </row>
    <row r="30" spans="1:13" ht="12.75" customHeight="1">
      <c r="A30" s="754"/>
      <c r="B30" s="209"/>
      <c r="C30" s="209"/>
      <c r="D30" s="209"/>
      <c r="E30" s="209"/>
      <c r="F30" s="209"/>
      <c r="G30" s="209"/>
      <c r="H30" s="238"/>
      <c r="I30" s="209"/>
      <c r="J30" s="209"/>
      <c r="K30" s="209"/>
      <c r="L30" s="209"/>
      <c r="M30" s="238"/>
    </row>
    <row r="31" spans="1:13" ht="12.75" customHeight="1">
      <c r="A31" s="341"/>
      <c r="B31" s="242"/>
      <c r="C31" s="242"/>
      <c r="D31" s="242"/>
      <c r="E31" s="242"/>
      <c r="F31" s="242"/>
      <c r="G31" s="209"/>
      <c r="H31" s="238"/>
      <c r="I31" s="209"/>
      <c r="J31" s="209"/>
      <c r="K31" s="209"/>
      <c r="L31" s="209"/>
      <c r="M31" s="238"/>
    </row>
    <row r="32" spans="1:13" ht="12.75" customHeight="1">
      <c r="A32" s="341"/>
      <c r="B32" s="209"/>
      <c r="C32" s="209"/>
      <c r="D32" s="209"/>
      <c r="E32" s="209"/>
      <c r="F32" s="209"/>
      <c r="G32" s="209"/>
      <c r="H32" s="238"/>
      <c r="I32" s="209"/>
      <c r="J32" s="209"/>
      <c r="K32" s="209"/>
      <c r="L32" s="209"/>
      <c r="M32" s="238"/>
    </row>
    <row r="33" spans="1:13" ht="12.75" customHeight="1">
      <c r="A33" s="755" t="s">
        <v>78</v>
      </c>
      <c r="B33" s="756"/>
      <c r="C33" s="757" t="s">
        <v>155</v>
      </c>
      <c r="D33" s="757"/>
      <c r="E33" s="757"/>
      <c r="F33" s="757"/>
      <c r="G33" s="757"/>
      <c r="H33" s="758"/>
      <c r="I33" s="209" t="s">
        <v>79</v>
      </c>
      <c r="J33" s="209"/>
      <c r="K33" s="243" t="s">
        <v>156</v>
      </c>
      <c r="L33" s="209"/>
      <c r="M33" s="238"/>
    </row>
    <row r="34" spans="1:13" ht="13.8">
      <c r="A34" s="244"/>
      <c r="B34" s="226"/>
      <c r="C34" s="226"/>
      <c r="D34" s="226"/>
      <c r="E34" s="226"/>
      <c r="F34" s="226"/>
      <c r="G34" s="226"/>
      <c r="H34" s="245"/>
      <c r="I34" s="209"/>
      <c r="J34" s="209"/>
      <c r="K34" s="209"/>
      <c r="L34" s="209"/>
      <c r="M34" s="238"/>
    </row>
    <row r="35" spans="1:13" ht="18" customHeight="1">
      <c r="A35" s="755" t="s">
        <v>82</v>
      </c>
      <c r="B35" s="756"/>
      <c r="C35" s="759" t="str">
        <f>'DV (2)'!A29</f>
        <v>MARK JUBEN M. PILAPIL</v>
      </c>
      <c r="D35" s="759"/>
      <c r="E35" s="759"/>
      <c r="F35" s="759"/>
      <c r="G35" s="759"/>
      <c r="H35" s="760"/>
      <c r="I35" s="285" t="s">
        <v>82</v>
      </c>
      <c r="J35" s="209"/>
      <c r="K35" s="747" t="s">
        <v>83</v>
      </c>
      <c r="L35" s="747"/>
      <c r="M35" s="748"/>
    </row>
    <row r="36" spans="1:13" ht="9" customHeight="1">
      <c r="A36" s="244"/>
      <c r="B36" s="226"/>
      <c r="C36" s="280"/>
      <c r="D36" s="280"/>
      <c r="E36" s="280"/>
      <c r="F36" s="280"/>
      <c r="G36" s="281"/>
      <c r="H36" s="282"/>
      <c r="I36" s="209"/>
      <c r="J36" s="209"/>
      <c r="K36" s="264"/>
      <c r="L36" s="264"/>
      <c r="M36" s="283"/>
    </row>
    <row r="37" spans="1:13" ht="12.75" customHeight="1">
      <c r="A37" s="755" t="s">
        <v>84</v>
      </c>
      <c r="B37" s="756"/>
      <c r="C37" s="767" t="s">
        <v>230</v>
      </c>
      <c r="D37" s="767"/>
      <c r="E37" s="767"/>
      <c r="F37" s="767"/>
      <c r="G37" s="767"/>
      <c r="H37" s="768"/>
      <c r="I37" s="209" t="s">
        <v>84</v>
      </c>
      <c r="J37" s="209"/>
      <c r="K37" s="761" t="s">
        <v>189</v>
      </c>
      <c r="L37" s="761"/>
      <c r="M37" s="746"/>
    </row>
    <row r="38" spans="1:13" ht="28.5" customHeight="1">
      <c r="A38" s="244"/>
      <c r="B38" s="226"/>
      <c r="C38" s="756" t="s">
        <v>157</v>
      </c>
      <c r="D38" s="756"/>
      <c r="E38" s="756"/>
      <c r="F38" s="756"/>
      <c r="G38" s="756"/>
      <c r="H38" s="762"/>
      <c r="I38" s="209"/>
      <c r="J38" s="209"/>
      <c r="K38" s="660" t="s">
        <v>85</v>
      </c>
      <c r="L38" s="660"/>
      <c r="M38" s="661"/>
    </row>
    <row r="39" spans="1:13" ht="12.75" customHeight="1">
      <c r="A39" s="755" t="s">
        <v>88</v>
      </c>
      <c r="B39" s="756"/>
      <c r="C39" s="663" t="s">
        <v>158</v>
      </c>
      <c r="D39" s="663"/>
      <c r="E39" s="663"/>
      <c r="F39" s="663"/>
      <c r="G39" s="663"/>
      <c r="H39" s="664"/>
      <c r="I39" s="209" t="s">
        <v>88</v>
      </c>
      <c r="J39" s="209"/>
      <c r="K39" s="209" t="s">
        <v>89</v>
      </c>
      <c r="L39" s="209"/>
      <c r="M39" s="238"/>
    </row>
    <row r="40" spans="1:13" ht="9.75" customHeight="1" thickBot="1">
      <c r="A40" s="246"/>
      <c r="B40" s="247"/>
      <c r="C40" s="247"/>
      <c r="D40" s="247"/>
      <c r="E40" s="247"/>
      <c r="F40" s="247"/>
      <c r="G40" s="247"/>
      <c r="H40" s="248"/>
      <c r="I40" s="229"/>
      <c r="J40" s="229"/>
      <c r="K40" s="229"/>
      <c r="L40" s="229"/>
      <c r="M40" s="249"/>
    </row>
    <row r="41" spans="1:13" ht="3.75" customHeight="1" thickBot="1">
      <c r="A41" s="250"/>
      <c r="B41" s="251"/>
      <c r="C41" s="233"/>
      <c r="D41" s="233"/>
      <c r="E41" s="233"/>
      <c r="F41" s="233"/>
      <c r="G41" s="233"/>
      <c r="H41" s="233"/>
      <c r="I41" s="233"/>
      <c r="J41" s="233"/>
      <c r="K41" s="233"/>
      <c r="L41" s="233"/>
      <c r="M41" s="252"/>
    </row>
    <row r="42" spans="1:13" ht="14.4" thickBot="1">
      <c r="A42" s="253" t="s">
        <v>36</v>
      </c>
      <c r="B42" s="763" t="s">
        <v>159</v>
      </c>
      <c r="C42" s="764"/>
      <c r="D42" s="764"/>
      <c r="E42" s="764"/>
      <c r="F42" s="764"/>
      <c r="G42" s="764"/>
      <c r="H42" s="764"/>
      <c r="I42" s="764"/>
      <c r="J42" s="764"/>
      <c r="K42" s="764"/>
      <c r="L42" s="764"/>
      <c r="M42" s="765"/>
    </row>
    <row r="43" spans="1:13" ht="13.5" customHeight="1" thickBot="1">
      <c r="A43" s="766" t="s">
        <v>91</v>
      </c>
      <c r="B43" s="764"/>
      <c r="C43" s="764"/>
      <c r="D43" s="764"/>
      <c r="E43" s="764"/>
      <c r="F43" s="764"/>
      <c r="G43" s="765"/>
      <c r="H43" s="766" t="s">
        <v>22</v>
      </c>
      <c r="I43" s="764"/>
      <c r="J43" s="764"/>
      <c r="K43" s="764"/>
      <c r="L43" s="764"/>
      <c r="M43" s="765"/>
    </row>
    <row r="44" spans="1:13" ht="13.5" customHeight="1">
      <c r="A44" s="791" t="s">
        <v>50</v>
      </c>
      <c r="B44" s="793" t="s">
        <v>19</v>
      </c>
      <c r="C44" s="794"/>
      <c r="D44" s="794"/>
      <c r="E44" s="800" t="s">
        <v>92</v>
      </c>
      <c r="F44" s="906"/>
      <c r="G44" s="907"/>
      <c r="H44" s="911" t="s">
        <v>93</v>
      </c>
      <c r="I44" s="807" t="s">
        <v>94</v>
      </c>
      <c r="J44" s="806"/>
      <c r="K44" s="769" t="s">
        <v>95</v>
      </c>
      <c r="L44" s="770" t="s">
        <v>96</v>
      </c>
      <c r="M44" s="771"/>
    </row>
    <row r="45" spans="1:13" ht="26.25" customHeight="1">
      <c r="A45" s="791"/>
      <c r="B45" s="793"/>
      <c r="C45" s="794"/>
      <c r="D45" s="794"/>
      <c r="E45" s="800"/>
      <c r="F45" s="906"/>
      <c r="G45" s="907"/>
      <c r="H45" s="911"/>
      <c r="I45" s="807"/>
      <c r="J45" s="806"/>
      <c r="K45" s="769"/>
      <c r="L45" s="291" t="s">
        <v>97</v>
      </c>
      <c r="M45" s="254" t="s">
        <v>98</v>
      </c>
    </row>
    <row r="46" spans="1:13" ht="15.6" customHeight="1" thickBot="1">
      <c r="A46" s="792"/>
      <c r="B46" s="795"/>
      <c r="C46" s="796"/>
      <c r="D46" s="796"/>
      <c r="E46" s="908"/>
      <c r="F46" s="909"/>
      <c r="G46" s="910"/>
      <c r="H46" s="255" t="s">
        <v>99</v>
      </c>
      <c r="I46" s="772" t="s">
        <v>100</v>
      </c>
      <c r="J46" s="773"/>
      <c r="K46" s="255" t="s">
        <v>101</v>
      </c>
      <c r="L46" s="255" t="s">
        <v>102</v>
      </c>
      <c r="M46" s="256" t="s">
        <v>103</v>
      </c>
    </row>
    <row r="47" spans="1:13" ht="13.5" customHeight="1">
      <c r="A47" s="774" t="s">
        <v>228</v>
      </c>
      <c r="B47" s="777" t="str">
        <f>D17</f>
        <v xml:space="preserve">Reimbursement of the travelling expenses to attend the Solidarity Meeting and Submission of Lacking Documents for the University Paugnat and Pasundayag Festival 2025 on October 30, 2025, at the BISU Main Campus Activity Center, Tagbilaran City, Bohol.
</v>
      </c>
      <c r="C47" s="778"/>
      <c r="D47" s="779"/>
      <c r="E47" s="266"/>
      <c r="F47" s="267"/>
      <c r="G47" s="268"/>
      <c r="H47" s="269"/>
      <c r="I47" s="262"/>
      <c r="J47" s="270"/>
      <c r="K47" s="271"/>
      <c r="L47" s="272"/>
      <c r="M47" s="273"/>
    </row>
    <row r="48" spans="1:13" ht="13.5" customHeight="1">
      <c r="A48" s="775"/>
      <c r="B48" s="780"/>
      <c r="C48" s="781"/>
      <c r="D48" s="782"/>
      <c r="E48" s="266"/>
      <c r="F48" s="267"/>
      <c r="G48" s="268"/>
      <c r="H48" s="271"/>
      <c r="I48" s="274"/>
      <c r="J48" s="275"/>
      <c r="K48" s="269"/>
      <c r="L48" s="269"/>
      <c r="M48" s="276"/>
    </row>
    <row r="49" spans="1:13" ht="16.2" customHeight="1">
      <c r="A49" s="775"/>
      <c r="B49" s="780"/>
      <c r="C49" s="781"/>
      <c r="D49" s="782"/>
      <c r="E49" s="786"/>
      <c r="F49" s="787"/>
      <c r="G49" s="788"/>
      <c r="H49" s="284">
        <f>L25</f>
        <v>540</v>
      </c>
      <c r="I49" s="789"/>
      <c r="J49" s="790"/>
      <c r="K49" s="277">
        <f>H49</f>
        <v>540</v>
      </c>
      <c r="L49" s="269"/>
      <c r="M49" s="278">
        <f>K49</f>
        <v>540</v>
      </c>
    </row>
    <row r="50" spans="1:13" ht="16.2" customHeight="1">
      <c r="A50" s="775"/>
      <c r="B50" s="780"/>
      <c r="C50" s="781"/>
      <c r="D50" s="782"/>
      <c r="E50" s="334"/>
      <c r="F50" s="335"/>
      <c r="G50" s="336"/>
      <c r="H50" s="284"/>
      <c r="I50" s="337"/>
      <c r="J50" s="338"/>
      <c r="K50" s="277"/>
      <c r="L50" s="269"/>
      <c r="M50" s="319"/>
    </row>
    <row r="51" spans="1:13" ht="25.2" customHeight="1">
      <c r="A51" s="775"/>
      <c r="B51" s="780"/>
      <c r="C51" s="781"/>
      <c r="D51" s="782"/>
      <c r="E51" s="266"/>
      <c r="F51" s="267"/>
      <c r="G51" s="268"/>
      <c r="H51" s="271"/>
      <c r="I51" s="274"/>
      <c r="J51" s="275"/>
      <c r="K51" s="269"/>
      <c r="L51" s="277"/>
      <c r="M51" s="276"/>
    </row>
    <row r="52" spans="1:13" ht="13.5" customHeight="1">
      <c r="A52" s="775"/>
      <c r="B52" s="780"/>
      <c r="C52" s="781"/>
      <c r="D52" s="782"/>
      <c r="E52" s="262"/>
      <c r="F52" s="267"/>
      <c r="G52" s="268"/>
      <c r="H52" s="271"/>
      <c r="I52" s="262"/>
      <c r="J52" s="268"/>
      <c r="K52" s="271"/>
      <c r="L52" s="271"/>
      <c r="M52" s="279"/>
    </row>
    <row r="53" spans="1:13" ht="13.5" customHeight="1">
      <c r="A53" s="775"/>
      <c r="B53" s="780"/>
      <c r="C53" s="781"/>
      <c r="D53" s="782"/>
      <c r="E53" s="262"/>
      <c r="F53" s="267"/>
      <c r="G53" s="268"/>
      <c r="H53" s="271"/>
      <c r="I53" s="262"/>
      <c r="J53" s="268"/>
      <c r="K53" s="271"/>
      <c r="L53" s="271"/>
      <c r="M53" s="279"/>
    </row>
    <row r="54" spans="1:13" ht="8.4" customHeight="1">
      <c r="A54" s="775"/>
      <c r="B54" s="780"/>
      <c r="C54" s="781"/>
      <c r="D54" s="782"/>
      <c r="E54" s="217"/>
      <c r="F54" s="209"/>
      <c r="G54" s="225"/>
      <c r="H54" s="218"/>
      <c r="I54" s="217"/>
      <c r="J54" s="225"/>
      <c r="K54" s="218"/>
      <c r="L54" s="218"/>
      <c r="M54" s="238"/>
    </row>
    <row r="55" spans="1:13" ht="8.4" customHeight="1">
      <c r="A55" s="775"/>
      <c r="B55" s="780"/>
      <c r="C55" s="781"/>
      <c r="D55" s="782"/>
      <c r="E55" s="217"/>
      <c r="F55" s="209"/>
      <c r="G55" s="225"/>
      <c r="H55" s="218"/>
      <c r="I55" s="217"/>
      <c r="J55" s="225"/>
      <c r="K55" s="218"/>
      <c r="L55" s="218"/>
      <c r="M55" s="238"/>
    </row>
    <row r="56" spans="1:13" ht="29.4" customHeight="1" thickBot="1">
      <c r="A56" s="776"/>
      <c r="B56" s="783"/>
      <c r="C56" s="784"/>
      <c r="D56" s="785"/>
      <c r="E56" s="257"/>
      <c r="F56" s="258"/>
      <c r="G56" s="259"/>
      <c r="H56" s="260"/>
      <c r="I56" s="257"/>
      <c r="J56" s="259"/>
      <c r="K56" s="260"/>
      <c r="L56" s="260"/>
      <c r="M56" s="261"/>
    </row>
    <row r="57" spans="1:13" ht="13.8">
      <c r="A57" s="209"/>
      <c r="B57" s="209"/>
      <c r="C57" s="209"/>
      <c r="D57" s="209"/>
      <c r="E57" s="209"/>
      <c r="F57" s="209"/>
      <c r="G57" s="209"/>
      <c r="H57" s="209"/>
      <c r="I57" s="209"/>
      <c r="J57" s="209"/>
      <c r="K57" s="209"/>
      <c r="L57" s="209"/>
      <c r="M57" s="209"/>
    </row>
  </sheetData>
  <mergeCells count="68">
    <mergeCell ref="K44:K45"/>
    <mergeCell ref="L44:M44"/>
    <mergeCell ref="I46:J46"/>
    <mergeCell ref="A47:A56"/>
    <mergeCell ref="B47:D56"/>
    <mergeCell ref="E49:G49"/>
    <mergeCell ref="I49:J49"/>
    <mergeCell ref="A44:A46"/>
    <mergeCell ref="B44:D46"/>
    <mergeCell ref="E44:G46"/>
    <mergeCell ref="H44:H45"/>
    <mergeCell ref="I44:J45"/>
    <mergeCell ref="K37:M37"/>
    <mergeCell ref="C38:H38"/>
    <mergeCell ref="K38:M38"/>
    <mergeCell ref="B42:M42"/>
    <mergeCell ref="A43:G43"/>
    <mergeCell ref="H43:M43"/>
    <mergeCell ref="A39:B39"/>
    <mergeCell ref="C39:H39"/>
    <mergeCell ref="A37:B37"/>
    <mergeCell ref="C37:H37"/>
    <mergeCell ref="A29:A30"/>
    <mergeCell ref="A33:B33"/>
    <mergeCell ref="C33:H33"/>
    <mergeCell ref="A35:B35"/>
    <mergeCell ref="C35:H35"/>
    <mergeCell ref="K35:M35"/>
    <mergeCell ref="L23:M23"/>
    <mergeCell ref="L24:M24"/>
    <mergeCell ref="D25:H25"/>
    <mergeCell ref="L25:M25"/>
    <mergeCell ref="A26:A27"/>
    <mergeCell ref="I26:I27"/>
    <mergeCell ref="B27:C27"/>
    <mergeCell ref="D27:H27"/>
    <mergeCell ref="L16:M16"/>
    <mergeCell ref="A17:C17"/>
    <mergeCell ref="D17:H24"/>
    <mergeCell ref="I17:J17"/>
    <mergeCell ref="L17:M17"/>
    <mergeCell ref="I18:J18"/>
    <mergeCell ref="I19:J19"/>
    <mergeCell ref="L20:M20"/>
    <mergeCell ref="L21:M21"/>
    <mergeCell ref="L22:M22"/>
    <mergeCell ref="A10:C11"/>
    <mergeCell ref="D10:M11"/>
    <mergeCell ref="A12:C13"/>
    <mergeCell ref="D12:M13"/>
    <mergeCell ref="A14:C15"/>
    <mergeCell ref="D14:H15"/>
    <mergeCell ref="I14:J15"/>
    <mergeCell ref="K14:K15"/>
    <mergeCell ref="L14:M15"/>
    <mergeCell ref="A6:J6"/>
    <mergeCell ref="K6:M6"/>
    <mergeCell ref="A7:J7"/>
    <mergeCell ref="K7:M7"/>
    <mergeCell ref="A8:C9"/>
    <mergeCell ref="D8:M9"/>
    <mergeCell ref="A5:J5"/>
    <mergeCell ref="K5:M5"/>
    <mergeCell ref="L1:M1"/>
    <mergeCell ref="A3:J3"/>
    <mergeCell ref="K3:M3"/>
    <mergeCell ref="A4:J4"/>
    <mergeCell ref="K4:M4"/>
  </mergeCells>
  <printOptions horizontalCentered="1"/>
  <pageMargins left="0.25" right="0.25" top="0.75" bottom="0.75" header="0.3" footer="0.3"/>
  <pageSetup paperSize="9" scale="77" orientation="portrait" horizontalDpi="360" verticalDpi="360" r:id="rId1"/>
  <headerFooter alignWithMargins="0">
    <oddFooter>&amp;C&amp;"Times New Roman,Regular"&amp;14 48</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5"/>
  <sheetViews>
    <sheetView topLeftCell="A21" zoomScale="111" zoomScaleNormal="100" workbookViewId="0">
      <selection activeCell="A13" sqref="A13:I13"/>
    </sheetView>
  </sheetViews>
  <sheetFormatPr defaultRowHeight="13.2"/>
  <cols>
    <col min="7" max="7" width="17.88671875" customWidth="1"/>
    <col min="9" max="9" width="12" customWidth="1"/>
  </cols>
  <sheetData>
    <row r="1" spans="1:9" ht="13.8">
      <c r="A1" s="829" t="s">
        <v>131</v>
      </c>
      <c r="B1" s="830"/>
      <c r="C1" s="830"/>
      <c r="D1" s="830"/>
      <c r="E1" s="830"/>
      <c r="F1" s="830"/>
      <c r="G1" s="830"/>
      <c r="H1" s="830"/>
      <c r="I1" s="831"/>
    </row>
    <row r="2" spans="1:9" ht="13.8">
      <c r="A2" s="873" t="s">
        <v>132</v>
      </c>
      <c r="B2" s="874"/>
      <c r="C2" s="874"/>
      <c r="D2" s="874"/>
      <c r="E2" s="874"/>
      <c r="F2" s="874"/>
      <c r="G2" s="874"/>
      <c r="H2" s="874"/>
      <c r="I2" s="875"/>
    </row>
    <row r="3" spans="1:9" ht="13.8">
      <c r="A3" s="873" t="s">
        <v>65</v>
      </c>
      <c r="B3" s="874"/>
      <c r="C3" s="874"/>
      <c r="D3" s="874"/>
      <c r="E3" s="874"/>
      <c r="F3" s="874"/>
      <c r="G3" s="874"/>
      <c r="H3" s="874"/>
      <c r="I3" s="875"/>
    </row>
    <row r="4" spans="1:9" ht="15.6">
      <c r="A4" s="876"/>
      <c r="B4" s="877"/>
      <c r="C4" s="877"/>
      <c r="D4" s="877"/>
      <c r="E4" s="877"/>
      <c r="F4" s="877"/>
      <c r="G4" s="877"/>
      <c r="H4" s="877"/>
      <c r="I4" s="878"/>
    </row>
    <row r="5" spans="1:9" ht="13.8">
      <c r="A5" s="879" t="s">
        <v>133</v>
      </c>
      <c r="B5" s="880"/>
      <c r="C5" s="880"/>
      <c r="D5" s="880"/>
      <c r="E5" s="880"/>
      <c r="F5" s="880"/>
      <c r="G5" s="880"/>
      <c r="H5" s="880"/>
      <c r="I5" s="881"/>
    </row>
    <row r="6" spans="1:9" ht="13.8">
      <c r="A6" s="882" t="s">
        <v>134</v>
      </c>
      <c r="B6" s="883"/>
      <c r="C6" s="883"/>
      <c r="D6" s="883"/>
      <c r="E6" s="883"/>
      <c r="F6" s="883"/>
      <c r="G6" s="883"/>
      <c r="H6" s="883"/>
      <c r="I6" s="884"/>
    </row>
    <row r="7" spans="1:9" ht="13.8">
      <c r="A7" s="832" t="s">
        <v>135</v>
      </c>
      <c r="B7" s="833"/>
      <c r="C7" s="833"/>
      <c r="D7" s="833"/>
      <c r="E7" s="833"/>
      <c r="F7" s="833"/>
      <c r="G7" s="833"/>
      <c r="H7" s="833"/>
      <c r="I7" s="834"/>
    </row>
    <row r="8" spans="1:9" ht="14.4">
      <c r="A8" s="863" t="s">
        <v>136</v>
      </c>
      <c r="B8" s="863"/>
      <c r="C8" s="916" t="str">
        <f>IT!B9</f>
        <v>ROGER E. AMOLATO</v>
      </c>
      <c r="D8" s="916"/>
      <c r="E8" s="916"/>
      <c r="F8" s="916"/>
      <c r="G8" s="169" t="s">
        <v>137</v>
      </c>
      <c r="H8" s="859">
        <v>85448</v>
      </c>
      <c r="I8" s="859"/>
    </row>
    <row r="9" spans="1:9" ht="13.8">
      <c r="A9" s="347" t="s">
        <v>64</v>
      </c>
      <c r="B9" s="865" t="s">
        <v>1</v>
      </c>
      <c r="C9" s="865"/>
      <c r="D9" s="865"/>
      <c r="E9" s="865"/>
      <c r="F9" s="865"/>
      <c r="G9" s="865"/>
      <c r="H9" s="865"/>
      <c r="I9" s="865"/>
    </row>
    <row r="10" spans="1:9" ht="13.8">
      <c r="A10" s="347" t="s">
        <v>138</v>
      </c>
      <c r="B10" s="865" t="s">
        <v>139</v>
      </c>
      <c r="C10" s="865"/>
      <c r="D10" s="865"/>
      <c r="E10" s="865"/>
      <c r="F10" s="865"/>
      <c r="G10" s="865"/>
      <c r="H10" s="865"/>
      <c r="I10" s="865"/>
    </row>
    <row r="11" spans="1:9" ht="13.8">
      <c r="A11" s="866" t="s">
        <v>19</v>
      </c>
      <c r="B11" s="867"/>
      <c r="C11" s="867"/>
      <c r="D11" s="867"/>
      <c r="E11" s="867"/>
      <c r="F11" s="867"/>
      <c r="G11" s="862"/>
      <c r="H11" s="866" t="s">
        <v>140</v>
      </c>
      <c r="I11" s="862"/>
    </row>
    <row r="12" spans="1:9" ht="13.8">
      <c r="A12" s="207" t="s">
        <v>254</v>
      </c>
      <c r="B12" s="173"/>
      <c r="C12" s="173"/>
      <c r="D12" s="173"/>
      <c r="E12" s="173"/>
      <c r="F12" s="173"/>
      <c r="G12" s="208"/>
      <c r="H12" s="868">
        <v>200</v>
      </c>
      <c r="I12" s="869"/>
    </row>
    <row r="13" spans="1:9" ht="13.8">
      <c r="A13" s="207"/>
      <c r="B13" s="173"/>
      <c r="C13" s="173"/>
      <c r="D13" s="173"/>
      <c r="E13" s="173"/>
      <c r="F13" s="173"/>
      <c r="G13" s="208"/>
      <c r="H13" s="868"/>
      <c r="I13" s="869"/>
    </row>
    <row r="14" spans="1:9" ht="13.8">
      <c r="A14" s="207"/>
      <c r="B14" s="173"/>
      <c r="C14" s="173"/>
      <c r="D14" s="173"/>
      <c r="E14" s="173"/>
      <c r="F14" s="173"/>
      <c r="G14" s="208"/>
      <c r="H14" s="868"/>
      <c r="I14" s="869"/>
    </row>
    <row r="15" spans="1:9" ht="13.8">
      <c r="A15" s="870"/>
      <c r="B15" s="871"/>
      <c r="C15" s="871"/>
      <c r="D15" s="871"/>
      <c r="E15" s="871"/>
      <c r="F15" s="871"/>
      <c r="G15" s="872"/>
      <c r="H15" s="868"/>
      <c r="I15" s="869"/>
    </row>
    <row r="16" spans="1:9" ht="13.8">
      <c r="A16" s="860" t="s">
        <v>125</v>
      </c>
      <c r="B16" s="860"/>
      <c r="C16" s="860"/>
      <c r="D16" s="860"/>
      <c r="E16" s="860"/>
      <c r="F16" s="860"/>
      <c r="G16" s="860"/>
      <c r="H16" s="861">
        <f>SUM(H12:H15)</f>
        <v>200</v>
      </c>
      <c r="I16" s="862"/>
    </row>
    <row r="17" spans="1:9" ht="13.8">
      <c r="A17" s="843" t="s">
        <v>141</v>
      </c>
      <c r="B17" s="844"/>
      <c r="C17" s="844"/>
      <c r="D17" s="844"/>
      <c r="E17" s="844"/>
      <c r="F17" s="844"/>
      <c r="G17" s="844"/>
      <c r="H17" s="844"/>
      <c r="I17" s="845"/>
    </row>
    <row r="18" spans="1:9" ht="39" customHeight="1">
      <c r="A18" s="917" t="s">
        <v>255</v>
      </c>
      <c r="B18" s="918"/>
      <c r="C18" s="918"/>
      <c r="D18" s="918"/>
      <c r="E18" s="918"/>
      <c r="F18" s="918"/>
      <c r="G18" s="918"/>
      <c r="H18" s="918"/>
      <c r="I18" s="919"/>
    </row>
    <row r="19" spans="1:9">
      <c r="A19" s="920" t="s">
        <v>142</v>
      </c>
      <c r="B19" s="921"/>
      <c r="C19" s="921"/>
      <c r="D19" s="921"/>
      <c r="E19" s="921"/>
      <c r="F19" s="921"/>
      <c r="G19" s="921"/>
      <c r="H19" s="921"/>
      <c r="I19" s="922"/>
    </row>
    <row r="20" spans="1:9">
      <c r="A20" s="923"/>
      <c r="B20" s="924"/>
      <c r="C20" s="924"/>
      <c r="D20" s="924"/>
      <c r="E20" s="924"/>
      <c r="F20" s="924"/>
      <c r="G20" s="924"/>
      <c r="H20" s="924"/>
      <c r="I20" s="925"/>
    </row>
    <row r="21" spans="1:9" ht="24" customHeight="1">
      <c r="A21" s="926"/>
      <c r="B21" s="927"/>
      <c r="C21" s="927"/>
      <c r="D21" s="927"/>
      <c r="E21" s="927"/>
      <c r="F21" s="927"/>
      <c r="G21" s="927"/>
      <c r="H21" s="927"/>
      <c r="I21" s="928"/>
    </row>
    <row r="22" spans="1:9" ht="13.8">
      <c r="A22" s="859"/>
      <c r="B22" s="859"/>
      <c r="C22" s="859"/>
      <c r="D22" s="838" t="s">
        <v>143</v>
      </c>
      <c r="E22" s="838"/>
      <c r="F22" s="838"/>
      <c r="G22" s="838" t="s">
        <v>144</v>
      </c>
      <c r="H22" s="838"/>
      <c r="I22" s="838"/>
    </row>
    <row r="23" spans="1:9" ht="23.25" customHeight="1">
      <c r="A23" s="838" t="s">
        <v>145</v>
      </c>
      <c r="B23" s="838"/>
      <c r="C23" s="838"/>
      <c r="D23" s="839"/>
      <c r="E23" s="840"/>
      <c r="F23" s="841"/>
      <c r="G23" s="842"/>
      <c r="H23" s="840"/>
      <c r="I23" s="841"/>
    </row>
    <row r="24" spans="1:9" ht="16.5" customHeight="1">
      <c r="A24" s="885" t="s">
        <v>82</v>
      </c>
      <c r="B24" s="886"/>
      <c r="C24" s="887"/>
      <c r="D24" s="849" t="str">
        <f>C8</f>
        <v>ROGER E. AMOLATO</v>
      </c>
      <c r="E24" s="850"/>
      <c r="F24" s="851"/>
      <c r="G24" s="849" t="str">
        <f>IT!A44</f>
        <v>MARK JUBEN M. PILAPIL</v>
      </c>
      <c r="H24" s="850"/>
      <c r="I24" s="851"/>
    </row>
    <row r="25" spans="1:9" ht="7.5" customHeight="1">
      <c r="A25" s="888"/>
      <c r="B25" s="889"/>
      <c r="C25" s="890"/>
      <c r="D25" s="852"/>
      <c r="E25" s="853"/>
      <c r="F25" s="854"/>
      <c r="G25" s="852"/>
      <c r="H25" s="853"/>
      <c r="I25" s="854"/>
    </row>
    <row r="26" spans="1:9" ht="13.8">
      <c r="A26" s="829"/>
      <c r="B26" s="830"/>
      <c r="C26" s="831"/>
      <c r="D26" s="835" t="str">
        <f>Source!A2</f>
        <v>Instructor I - Temporary</v>
      </c>
      <c r="E26" s="835"/>
      <c r="F26" s="835"/>
      <c r="G26" s="835" t="s">
        <v>130</v>
      </c>
      <c r="H26" s="835"/>
      <c r="I26" s="835"/>
    </row>
    <row r="27" spans="1:9" ht="13.8">
      <c r="A27" s="832"/>
      <c r="B27" s="833"/>
      <c r="C27" s="834"/>
      <c r="D27" s="171" t="s">
        <v>50</v>
      </c>
      <c r="E27" s="836"/>
      <c r="F27" s="837"/>
      <c r="G27" s="171" t="s">
        <v>50</v>
      </c>
      <c r="H27" s="836"/>
      <c r="I27" s="837"/>
    </row>
    <row r="28" spans="1:9" ht="13.8">
      <c r="A28" s="348"/>
      <c r="B28" s="348"/>
      <c r="C28" s="348"/>
      <c r="D28" s="173"/>
      <c r="E28" s="174"/>
      <c r="F28" s="174"/>
      <c r="G28" s="173"/>
      <c r="H28" s="174"/>
      <c r="I28" s="174"/>
    </row>
    <row r="29" spans="1:9" ht="13.8">
      <c r="A29" s="829" t="s">
        <v>131</v>
      </c>
      <c r="B29" s="830"/>
      <c r="C29" s="830"/>
      <c r="D29" s="830"/>
      <c r="E29" s="830"/>
      <c r="F29" s="830"/>
      <c r="G29" s="830"/>
      <c r="H29" s="830"/>
      <c r="I29" s="831"/>
    </row>
    <row r="30" spans="1:9" ht="13.8">
      <c r="A30" s="873" t="s">
        <v>132</v>
      </c>
      <c r="B30" s="874"/>
      <c r="C30" s="874"/>
      <c r="D30" s="874"/>
      <c r="E30" s="874"/>
      <c r="F30" s="874"/>
      <c r="G30" s="874"/>
      <c r="H30" s="874"/>
      <c r="I30" s="875"/>
    </row>
    <row r="31" spans="1:9" ht="13.8">
      <c r="A31" s="873" t="s">
        <v>65</v>
      </c>
      <c r="B31" s="874"/>
      <c r="C31" s="874"/>
      <c r="D31" s="874"/>
      <c r="E31" s="874"/>
      <c r="F31" s="874"/>
      <c r="G31" s="874"/>
      <c r="H31" s="874"/>
      <c r="I31" s="875"/>
    </row>
    <row r="32" spans="1:9" ht="15.6">
      <c r="A32" s="876"/>
      <c r="B32" s="877"/>
      <c r="C32" s="877"/>
      <c r="D32" s="877"/>
      <c r="E32" s="877"/>
      <c r="F32" s="877"/>
      <c r="G32" s="877"/>
      <c r="H32" s="877"/>
      <c r="I32" s="878"/>
    </row>
    <row r="33" spans="1:9" ht="13.8">
      <c r="A33" s="879" t="s">
        <v>133</v>
      </c>
      <c r="B33" s="880"/>
      <c r="C33" s="880"/>
      <c r="D33" s="880"/>
      <c r="E33" s="880"/>
      <c r="F33" s="880"/>
      <c r="G33" s="880"/>
      <c r="H33" s="880"/>
      <c r="I33" s="881"/>
    </row>
    <row r="34" spans="1:9" ht="13.8">
      <c r="A34" s="882" t="s">
        <v>134</v>
      </c>
      <c r="B34" s="883"/>
      <c r="C34" s="883"/>
      <c r="D34" s="883"/>
      <c r="E34" s="883"/>
      <c r="F34" s="883"/>
      <c r="G34" s="883"/>
      <c r="H34" s="883"/>
      <c r="I34" s="884"/>
    </row>
    <row r="35" spans="1:9" ht="13.8">
      <c r="A35" s="832" t="s">
        <v>135</v>
      </c>
      <c r="B35" s="833"/>
      <c r="C35" s="833"/>
      <c r="D35" s="833"/>
      <c r="E35" s="833"/>
      <c r="F35" s="833"/>
      <c r="G35" s="833"/>
      <c r="H35" s="833"/>
      <c r="I35" s="834"/>
    </row>
    <row r="36" spans="1:9" ht="14.4">
      <c r="A36" s="863" t="s">
        <v>136</v>
      </c>
      <c r="B36" s="863"/>
      <c r="C36" s="916" t="str">
        <f>C8</f>
        <v>ROGER E. AMOLATO</v>
      </c>
      <c r="D36" s="916"/>
      <c r="E36" s="916"/>
      <c r="F36" s="916"/>
      <c r="G36" s="169" t="s">
        <v>137</v>
      </c>
      <c r="H36" s="859">
        <f>H8</f>
        <v>85448</v>
      </c>
      <c r="I36" s="859"/>
    </row>
    <row r="37" spans="1:9" ht="13.8">
      <c r="A37" s="347" t="s">
        <v>64</v>
      </c>
      <c r="B37" s="865" t="s">
        <v>1</v>
      </c>
      <c r="C37" s="865"/>
      <c r="D37" s="865"/>
      <c r="E37" s="865"/>
      <c r="F37" s="865"/>
      <c r="G37" s="865"/>
      <c r="H37" s="865"/>
      <c r="I37" s="865"/>
    </row>
    <row r="38" spans="1:9" ht="13.8">
      <c r="A38" s="347" t="s">
        <v>138</v>
      </c>
      <c r="B38" s="865" t="s">
        <v>139</v>
      </c>
      <c r="C38" s="865"/>
      <c r="D38" s="865"/>
      <c r="E38" s="865"/>
      <c r="F38" s="865"/>
      <c r="G38" s="865"/>
      <c r="H38" s="865"/>
      <c r="I38" s="865"/>
    </row>
    <row r="39" spans="1:9" ht="13.8">
      <c r="A39" s="866" t="s">
        <v>19</v>
      </c>
      <c r="B39" s="867"/>
      <c r="C39" s="867"/>
      <c r="D39" s="867"/>
      <c r="E39" s="867"/>
      <c r="F39" s="867"/>
      <c r="G39" s="862"/>
      <c r="H39" s="866" t="s">
        <v>140</v>
      </c>
      <c r="I39" s="862"/>
    </row>
    <row r="40" spans="1:9" ht="13.8">
      <c r="A40" s="207" t="s">
        <v>253</v>
      </c>
      <c r="B40" s="173"/>
      <c r="C40" s="173"/>
      <c r="D40" s="173"/>
      <c r="E40" s="173"/>
      <c r="F40" s="173"/>
      <c r="G40" s="208"/>
      <c r="H40" s="868">
        <v>200</v>
      </c>
      <c r="I40" s="869"/>
    </row>
    <row r="41" spans="1:9" ht="13.8">
      <c r="A41" s="207"/>
      <c r="B41" s="173"/>
      <c r="C41" s="173"/>
      <c r="D41" s="173"/>
      <c r="E41" s="173"/>
      <c r="F41" s="173"/>
      <c r="G41" s="208"/>
      <c r="H41" s="868"/>
      <c r="I41" s="869"/>
    </row>
    <row r="42" spans="1:9" ht="13.8">
      <c r="A42" s="207"/>
      <c r="B42" s="173"/>
      <c r="C42" s="173"/>
      <c r="D42" s="173"/>
      <c r="E42" s="173"/>
      <c r="F42" s="173"/>
      <c r="G42" s="208"/>
      <c r="H42" s="868"/>
      <c r="I42" s="869"/>
    </row>
    <row r="43" spans="1:9" ht="13.8">
      <c r="A43" s="870"/>
      <c r="B43" s="871"/>
      <c r="C43" s="871"/>
      <c r="D43" s="871"/>
      <c r="E43" s="871"/>
      <c r="F43" s="871"/>
      <c r="G43" s="872"/>
      <c r="H43" s="868"/>
      <c r="I43" s="869"/>
    </row>
    <row r="44" spans="1:9" ht="13.8">
      <c r="A44" s="860" t="s">
        <v>125</v>
      </c>
      <c r="B44" s="860"/>
      <c r="C44" s="860"/>
      <c r="D44" s="860"/>
      <c r="E44" s="860"/>
      <c r="F44" s="860"/>
      <c r="G44" s="860"/>
      <c r="H44" s="861">
        <f>SUM(H40:H43)</f>
        <v>200</v>
      </c>
      <c r="I44" s="862"/>
    </row>
    <row r="45" spans="1:9" ht="13.8">
      <c r="A45" s="843" t="s">
        <v>141</v>
      </c>
      <c r="B45" s="844"/>
      <c r="C45" s="844"/>
      <c r="D45" s="844"/>
      <c r="E45" s="844"/>
      <c r="F45" s="844"/>
      <c r="G45" s="844"/>
      <c r="H45" s="844"/>
      <c r="I45" s="845"/>
    </row>
    <row r="46" spans="1:9" ht="38.25" customHeight="1">
      <c r="A46" s="912" t="str">
        <f>A18</f>
        <v>To visit the Host Training Establishments (HTEs) of the BSCS OJTs on JULY 31, 2025, at Tagbilaran City, Bohol</v>
      </c>
      <c r="B46" s="913"/>
      <c r="C46" s="913"/>
      <c r="D46" s="913"/>
      <c r="E46" s="913"/>
      <c r="F46" s="913"/>
      <c r="G46" s="913"/>
      <c r="H46" s="913"/>
      <c r="I46" s="914"/>
    </row>
    <row r="47" spans="1:9">
      <c r="A47" s="915" t="s">
        <v>142</v>
      </c>
      <c r="B47" s="915"/>
      <c r="C47" s="915"/>
      <c r="D47" s="915"/>
      <c r="E47" s="915"/>
      <c r="F47" s="915"/>
      <c r="G47" s="915"/>
      <c r="H47" s="915"/>
      <c r="I47" s="915"/>
    </row>
    <row r="48" spans="1:9">
      <c r="A48" s="915"/>
      <c r="B48" s="915"/>
      <c r="C48" s="915"/>
      <c r="D48" s="915"/>
      <c r="E48" s="915"/>
      <c r="F48" s="915"/>
      <c r="G48" s="915"/>
      <c r="H48" s="915"/>
      <c r="I48" s="915"/>
    </row>
    <row r="49" spans="1:9" ht="24" customHeight="1">
      <c r="A49" s="915"/>
      <c r="B49" s="915"/>
      <c r="C49" s="915"/>
      <c r="D49" s="915"/>
      <c r="E49" s="915"/>
      <c r="F49" s="915"/>
      <c r="G49" s="915"/>
      <c r="H49" s="915"/>
      <c r="I49" s="915"/>
    </row>
    <row r="50" spans="1:9" ht="13.8">
      <c r="A50" s="859"/>
      <c r="B50" s="859"/>
      <c r="C50" s="859"/>
      <c r="D50" s="838" t="s">
        <v>143</v>
      </c>
      <c r="E50" s="838"/>
      <c r="F50" s="838"/>
      <c r="G50" s="838" t="s">
        <v>144</v>
      </c>
      <c r="H50" s="838"/>
      <c r="I50" s="838"/>
    </row>
    <row r="51" spans="1:9" ht="18" customHeight="1">
      <c r="A51" s="838" t="s">
        <v>145</v>
      </c>
      <c r="B51" s="838"/>
      <c r="C51" s="838"/>
      <c r="D51" s="839"/>
      <c r="E51" s="840"/>
      <c r="F51" s="841"/>
      <c r="G51" s="842"/>
      <c r="H51" s="840"/>
      <c r="I51" s="841"/>
    </row>
    <row r="52" spans="1:9" ht="16.5" customHeight="1">
      <c r="A52" s="843" t="s">
        <v>82</v>
      </c>
      <c r="B52" s="844"/>
      <c r="C52" s="845"/>
      <c r="D52" s="849" t="str">
        <f>C36</f>
        <v>ROGER E. AMOLATO</v>
      </c>
      <c r="E52" s="850"/>
      <c r="F52" s="851"/>
      <c r="G52" s="849" t="str">
        <f>G24</f>
        <v>MARK JUBEN M. PILAPIL</v>
      </c>
      <c r="H52" s="850"/>
      <c r="I52" s="851"/>
    </row>
    <row r="53" spans="1:9" ht="5.25" customHeight="1">
      <c r="A53" s="846"/>
      <c r="B53" s="847"/>
      <c r="C53" s="848"/>
      <c r="D53" s="852"/>
      <c r="E53" s="853"/>
      <c r="F53" s="854"/>
      <c r="G53" s="852"/>
      <c r="H53" s="853"/>
      <c r="I53" s="854"/>
    </row>
    <row r="54" spans="1:9" ht="13.8">
      <c r="A54" s="829"/>
      <c r="B54" s="830"/>
      <c r="C54" s="831"/>
      <c r="D54" s="835" t="str">
        <f>D26</f>
        <v>Instructor I - Temporary</v>
      </c>
      <c r="E54" s="835"/>
      <c r="F54" s="835"/>
      <c r="G54" s="835" t="s">
        <v>130</v>
      </c>
      <c r="H54" s="835"/>
      <c r="I54" s="835"/>
    </row>
    <row r="55" spans="1:9" ht="13.8">
      <c r="A55" s="832"/>
      <c r="B55" s="833"/>
      <c r="C55" s="834"/>
      <c r="D55" s="171" t="s">
        <v>50</v>
      </c>
      <c r="E55" s="836"/>
      <c r="F55" s="837"/>
      <c r="G55" s="171" t="s">
        <v>50</v>
      </c>
      <c r="H55" s="836"/>
      <c r="I55" s="837"/>
    </row>
  </sheetData>
  <mergeCells count="76">
    <mergeCell ref="B10:I10"/>
    <mergeCell ref="A1:I1"/>
    <mergeCell ref="A2:I2"/>
    <mergeCell ref="A3:I3"/>
    <mergeCell ref="A4:I4"/>
    <mergeCell ref="A5:I5"/>
    <mergeCell ref="A6:I6"/>
    <mergeCell ref="A7:I7"/>
    <mergeCell ref="A8:B8"/>
    <mergeCell ref="C8:F8"/>
    <mergeCell ref="H8:I8"/>
    <mergeCell ref="B9:I9"/>
    <mergeCell ref="A22:C22"/>
    <mergeCell ref="D22:F22"/>
    <mergeCell ref="G22:I22"/>
    <mergeCell ref="A11:G11"/>
    <mergeCell ref="H11:I11"/>
    <mergeCell ref="H12:I12"/>
    <mergeCell ref="H13:I13"/>
    <mergeCell ref="H14:I14"/>
    <mergeCell ref="A15:G15"/>
    <mergeCell ref="H15:I15"/>
    <mergeCell ref="A16:G16"/>
    <mergeCell ref="H16:I16"/>
    <mergeCell ref="A17:I17"/>
    <mergeCell ref="A18:I18"/>
    <mergeCell ref="A19:I21"/>
    <mergeCell ref="A23:C23"/>
    <mergeCell ref="D23:F23"/>
    <mergeCell ref="G23:I23"/>
    <mergeCell ref="A24:C25"/>
    <mergeCell ref="D24:F25"/>
    <mergeCell ref="G24:I25"/>
    <mergeCell ref="A35:I35"/>
    <mergeCell ref="A26:C27"/>
    <mergeCell ref="D26:F26"/>
    <mergeCell ref="G26:I26"/>
    <mergeCell ref="E27:F27"/>
    <mergeCell ref="H27:I27"/>
    <mergeCell ref="A29:I29"/>
    <mergeCell ref="A30:I30"/>
    <mergeCell ref="A31:I31"/>
    <mergeCell ref="A32:I32"/>
    <mergeCell ref="A33:I33"/>
    <mergeCell ref="A34:I34"/>
    <mergeCell ref="A44:G44"/>
    <mergeCell ref="H44:I44"/>
    <mergeCell ref="A36:B36"/>
    <mergeCell ref="C36:F36"/>
    <mergeCell ref="H36:I36"/>
    <mergeCell ref="B37:I37"/>
    <mergeCell ref="B38:I38"/>
    <mergeCell ref="A39:G39"/>
    <mergeCell ref="H39:I39"/>
    <mergeCell ref="H40:I40"/>
    <mergeCell ref="H41:I41"/>
    <mergeCell ref="H42:I42"/>
    <mergeCell ref="A43:G43"/>
    <mergeCell ref="H43:I43"/>
    <mergeCell ref="A45:I45"/>
    <mergeCell ref="A46:I46"/>
    <mergeCell ref="A47:I49"/>
    <mergeCell ref="A50:C50"/>
    <mergeCell ref="D50:F50"/>
    <mergeCell ref="G50:I50"/>
    <mergeCell ref="A51:C51"/>
    <mergeCell ref="D51:F51"/>
    <mergeCell ref="G51:I51"/>
    <mergeCell ref="A52:C53"/>
    <mergeCell ref="D52:F53"/>
    <mergeCell ref="G52:I53"/>
    <mergeCell ref="A54:C55"/>
    <mergeCell ref="D54:F54"/>
    <mergeCell ref="G54:I54"/>
    <mergeCell ref="E55:F55"/>
    <mergeCell ref="H55:I55"/>
  </mergeCells>
  <pageMargins left="1.19" right="0.7" top="0.47" bottom="0.75" header="0.3" footer="0.3"/>
  <pageSetup scale="89"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5"/>
  <sheetViews>
    <sheetView zoomScale="111" zoomScaleNormal="100" workbookViewId="0">
      <selection activeCell="D55" sqref="D55"/>
    </sheetView>
  </sheetViews>
  <sheetFormatPr defaultRowHeight="13.2"/>
  <cols>
    <col min="7" max="7" width="17.88671875" customWidth="1"/>
    <col min="9" max="9" width="12" customWidth="1"/>
  </cols>
  <sheetData>
    <row r="1" spans="1:9" ht="13.8">
      <c r="A1" s="829" t="s">
        <v>131</v>
      </c>
      <c r="B1" s="830"/>
      <c r="C1" s="830"/>
      <c r="D1" s="830"/>
      <c r="E1" s="830"/>
      <c r="F1" s="830"/>
      <c r="G1" s="830"/>
      <c r="H1" s="830"/>
      <c r="I1" s="831"/>
    </row>
    <row r="2" spans="1:9" ht="13.8">
      <c r="A2" s="873" t="s">
        <v>132</v>
      </c>
      <c r="B2" s="874"/>
      <c r="C2" s="874"/>
      <c r="D2" s="874"/>
      <c r="E2" s="874"/>
      <c r="F2" s="874"/>
      <c r="G2" s="874"/>
      <c r="H2" s="874"/>
      <c r="I2" s="875"/>
    </row>
    <row r="3" spans="1:9" ht="13.8">
      <c r="A3" s="873" t="s">
        <v>65</v>
      </c>
      <c r="B3" s="874"/>
      <c r="C3" s="874"/>
      <c r="D3" s="874"/>
      <c r="E3" s="874"/>
      <c r="F3" s="874"/>
      <c r="G3" s="874"/>
      <c r="H3" s="874"/>
      <c r="I3" s="875"/>
    </row>
    <row r="4" spans="1:9" ht="15.6">
      <c r="A4" s="876"/>
      <c r="B4" s="877"/>
      <c r="C4" s="877"/>
      <c r="D4" s="877"/>
      <c r="E4" s="877"/>
      <c r="F4" s="877"/>
      <c r="G4" s="877"/>
      <c r="H4" s="877"/>
      <c r="I4" s="878"/>
    </row>
    <row r="5" spans="1:9" ht="13.8">
      <c r="A5" s="879" t="s">
        <v>133</v>
      </c>
      <c r="B5" s="880"/>
      <c r="C5" s="880"/>
      <c r="D5" s="880"/>
      <c r="E5" s="880"/>
      <c r="F5" s="880"/>
      <c r="G5" s="880"/>
      <c r="H5" s="880"/>
      <c r="I5" s="881"/>
    </row>
    <row r="6" spans="1:9" ht="13.8">
      <c r="A6" s="882" t="s">
        <v>134</v>
      </c>
      <c r="B6" s="883"/>
      <c r="C6" s="883"/>
      <c r="D6" s="883"/>
      <c r="E6" s="883"/>
      <c r="F6" s="883"/>
      <c r="G6" s="883"/>
      <c r="H6" s="883"/>
      <c r="I6" s="884"/>
    </row>
    <row r="7" spans="1:9" ht="13.8">
      <c r="A7" s="832" t="s">
        <v>135</v>
      </c>
      <c r="B7" s="833"/>
      <c r="C7" s="833"/>
      <c r="D7" s="833"/>
      <c r="E7" s="833"/>
      <c r="F7" s="833"/>
      <c r="G7" s="833"/>
      <c r="H7" s="833"/>
      <c r="I7" s="834"/>
    </row>
    <row r="8" spans="1:9" ht="14.4">
      <c r="A8" s="863" t="s">
        <v>136</v>
      </c>
      <c r="B8" s="863"/>
      <c r="C8" s="916" t="str">
        <f>IT!B9</f>
        <v>ROGER E. AMOLATO</v>
      </c>
      <c r="D8" s="916"/>
      <c r="E8" s="916"/>
      <c r="F8" s="916"/>
      <c r="G8" s="169" t="s">
        <v>137</v>
      </c>
      <c r="H8" s="859">
        <v>85448</v>
      </c>
      <c r="I8" s="859"/>
    </row>
    <row r="9" spans="1:9" ht="13.8">
      <c r="A9" s="375" t="s">
        <v>64</v>
      </c>
      <c r="B9" s="865" t="s">
        <v>1</v>
      </c>
      <c r="C9" s="865"/>
      <c r="D9" s="865"/>
      <c r="E9" s="865"/>
      <c r="F9" s="865"/>
      <c r="G9" s="865"/>
      <c r="H9" s="865"/>
      <c r="I9" s="865"/>
    </row>
    <row r="10" spans="1:9" ht="13.8">
      <c r="A10" s="375" t="s">
        <v>138</v>
      </c>
      <c r="B10" s="865" t="s">
        <v>139</v>
      </c>
      <c r="C10" s="865"/>
      <c r="D10" s="865"/>
      <c r="E10" s="865"/>
      <c r="F10" s="865"/>
      <c r="G10" s="865"/>
      <c r="H10" s="865"/>
      <c r="I10" s="865"/>
    </row>
    <row r="11" spans="1:9" ht="13.8">
      <c r="A11" s="866" t="s">
        <v>19</v>
      </c>
      <c r="B11" s="867"/>
      <c r="C11" s="867"/>
      <c r="D11" s="867"/>
      <c r="E11" s="867"/>
      <c r="F11" s="867"/>
      <c r="G11" s="862"/>
      <c r="H11" s="866" t="s">
        <v>140</v>
      </c>
      <c r="I11" s="862"/>
    </row>
    <row r="12" spans="1:9" ht="13.8">
      <c r="A12" s="207" t="s">
        <v>254</v>
      </c>
      <c r="B12" s="173"/>
      <c r="C12" s="173"/>
      <c r="D12" s="173"/>
      <c r="E12" s="173"/>
      <c r="F12" s="173"/>
      <c r="G12" s="208"/>
      <c r="H12" s="868">
        <v>200</v>
      </c>
      <c r="I12" s="869"/>
    </row>
    <row r="13" spans="1:9" ht="13.8">
      <c r="A13" s="207"/>
      <c r="B13" s="173"/>
      <c r="C13" s="173"/>
      <c r="D13" s="173"/>
      <c r="E13" s="173"/>
      <c r="F13" s="173"/>
      <c r="G13" s="208"/>
      <c r="H13" s="868"/>
      <c r="I13" s="869"/>
    </row>
    <row r="14" spans="1:9" ht="13.8">
      <c r="A14" s="207"/>
      <c r="B14" s="173"/>
      <c r="C14" s="173"/>
      <c r="D14" s="173"/>
      <c r="E14" s="173"/>
      <c r="F14" s="173"/>
      <c r="G14" s="208"/>
      <c r="H14" s="868"/>
      <c r="I14" s="869"/>
    </row>
    <row r="15" spans="1:9" ht="13.8">
      <c r="A15" s="870"/>
      <c r="B15" s="871"/>
      <c r="C15" s="871"/>
      <c r="D15" s="871"/>
      <c r="E15" s="871"/>
      <c r="F15" s="871"/>
      <c r="G15" s="872"/>
      <c r="H15" s="868"/>
      <c r="I15" s="869"/>
    </row>
    <row r="16" spans="1:9" ht="13.8">
      <c r="A16" s="860" t="s">
        <v>125</v>
      </c>
      <c r="B16" s="860"/>
      <c r="C16" s="860"/>
      <c r="D16" s="860"/>
      <c r="E16" s="860"/>
      <c r="F16" s="860"/>
      <c r="G16" s="860"/>
      <c r="H16" s="861">
        <f>SUM(H12:H15)</f>
        <v>200</v>
      </c>
      <c r="I16" s="862"/>
    </row>
    <row r="17" spans="1:9" ht="13.8">
      <c r="A17" s="843" t="s">
        <v>141</v>
      </c>
      <c r="B17" s="844"/>
      <c r="C17" s="844"/>
      <c r="D17" s="844"/>
      <c r="E17" s="844"/>
      <c r="F17" s="844"/>
      <c r="G17" s="844"/>
      <c r="H17" s="844"/>
      <c r="I17" s="845"/>
    </row>
    <row r="18" spans="1:9" ht="39" customHeight="1">
      <c r="A18" s="917" t="s">
        <v>256</v>
      </c>
      <c r="B18" s="918"/>
      <c r="C18" s="918"/>
      <c r="D18" s="918"/>
      <c r="E18" s="918"/>
      <c r="F18" s="918"/>
      <c r="G18" s="918"/>
      <c r="H18" s="918"/>
      <c r="I18" s="919"/>
    </row>
    <row r="19" spans="1:9">
      <c r="A19" s="920" t="s">
        <v>142</v>
      </c>
      <c r="B19" s="921"/>
      <c r="C19" s="921"/>
      <c r="D19" s="921"/>
      <c r="E19" s="921"/>
      <c r="F19" s="921"/>
      <c r="G19" s="921"/>
      <c r="H19" s="921"/>
      <c r="I19" s="922"/>
    </row>
    <row r="20" spans="1:9">
      <c r="A20" s="923"/>
      <c r="B20" s="924"/>
      <c r="C20" s="924"/>
      <c r="D20" s="924"/>
      <c r="E20" s="924"/>
      <c r="F20" s="924"/>
      <c r="G20" s="924"/>
      <c r="H20" s="924"/>
      <c r="I20" s="925"/>
    </row>
    <row r="21" spans="1:9" ht="24" customHeight="1">
      <c r="A21" s="926"/>
      <c r="B21" s="927"/>
      <c r="C21" s="927"/>
      <c r="D21" s="927"/>
      <c r="E21" s="927"/>
      <c r="F21" s="927"/>
      <c r="G21" s="927"/>
      <c r="H21" s="927"/>
      <c r="I21" s="928"/>
    </row>
    <row r="22" spans="1:9" ht="13.8">
      <c r="A22" s="859"/>
      <c r="B22" s="859"/>
      <c r="C22" s="859"/>
      <c r="D22" s="838" t="s">
        <v>143</v>
      </c>
      <c r="E22" s="838"/>
      <c r="F22" s="838"/>
      <c r="G22" s="838" t="s">
        <v>144</v>
      </c>
      <c r="H22" s="838"/>
      <c r="I22" s="838"/>
    </row>
    <row r="23" spans="1:9" ht="23.25" customHeight="1">
      <c r="A23" s="838" t="s">
        <v>145</v>
      </c>
      <c r="B23" s="838"/>
      <c r="C23" s="838"/>
      <c r="D23" s="839"/>
      <c r="E23" s="840"/>
      <c r="F23" s="841"/>
      <c r="G23" s="842"/>
      <c r="H23" s="840"/>
      <c r="I23" s="841"/>
    </row>
    <row r="24" spans="1:9" ht="16.5" customHeight="1">
      <c r="A24" s="885" t="s">
        <v>82</v>
      </c>
      <c r="B24" s="886"/>
      <c r="C24" s="887"/>
      <c r="D24" s="849" t="str">
        <f>C8</f>
        <v>ROGER E. AMOLATO</v>
      </c>
      <c r="E24" s="850"/>
      <c r="F24" s="851"/>
      <c r="G24" s="849" t="str">
        <f>IT!A44</f>
        <v>MARK JUBEN M. PILAPIL</v>
      </c>
      <c r="H24" s="850"/>
      <c r="I24" s="851"/>
    </row>
    <row r="25" spans="1:9" ht="7.5" customHeight="1">
      <c r="A25" s="888"/>
      <c r="B25" s="889"/>
      <c r="C25" s="890"/>
      <c r="D25" s="852"/>
      <c r="E25" s="853"/>
      <c r="F25" s="854"/>
      <c r="G25" s="852"/>
      <c r="H25" s="853"/>
      <c r="I25" s="854"/>
    </row>
    <row r="26" spans="1:9" ht="13.8">
      <c r="A26" s="829"/>
      <c r="B26" s="830"/>
      <c r="C26" s="831"/>
      <c r="D26" s="835" t="str">
        <f>Source!A2</f>
        <v>Instructor I - Temporary</v>
      </c>
      <c r="E26" s="835"/>
      <c r="F26" s="835"/>
      <c r="G26" s="835" t="s">
        <v>130</v>
      </c>
      <c r="H26" s="835"/>
      <c r="I26" s="835"/>
    </row>
    <row r="27" spans="1:9" ht="13.8">
      <c r="A27" s="832"/>
      <c r="B27" s="833"/>
      <c r="C27" s="834"/>
      <c r="D27" s="171" t="s">
        <v>50</v>
      </c>
      <c r="E27" s="836"/>
      <c r="F27" s="837"/>
      <c r="G27" s="171" t="s">
        <v>50</v>
      </c>
      <c r="H27" s="836"/>
      <c r="I27" s="837"/>
    </row>
    <row r="28" spans="1:9" ht="13.8">
      <c r="A28" s="376"/>
      <c r="B28" s="376"/>
      <c r="C28" s="376"/>
      <c r="D28" s="173"/>
      <c r="E28" s="174"/>
      <c r="F28" s="174"/>
      <c r="G28" s="173"/>
      <c r="H28" s="174"/>
      <c r="I28" s="174"/>
    </row>
    <row r="29" spans="1:9" ht="13.8">
      <c r="A29" s="829" t="s">
        <v>131</v>
      </c>
      <c r="B29" s="830"/>
      <c r="C29" s="830"/>
      <c r="D29" s="830"/>
      <c r="E29" s="830"/>
      <c r="F29" s="830"/>
      <c r="G29" s="830"/>
      <c r="H29" s="830"/>
      <c r="I29" s="831"/>
    </row>
    <row r="30" spans="1:9" ht="13.8">
      <c r="A30" s="873" t="s">
        <v>132</v>
      </c>
      <c r="B30" s="874"/>
      <c r="C30" s="874"/>
      <c r="D30" s="874"/>
      <c r="E30" s="874"/>
      <c r="F30" s="874"/>
      <c r="G30" s="874"/>
      <c r="H30" s="874"/>
      <c r="I30" s="875"/>
    </row>
    <row r="31" spans="1:9" ht="13.8">
      <c r="A31" s="873" t="s">
        <v>65</v>
      </c>
      <c r="B31" s="874"/>
      <c r="C31" s="874"/>
      <c r="D31" s="874"/>
      <c r="E31" s="874"/>
      <c r="F31" s="874"/>
      <c r="G31" s="874"/>
      <c r="H31" s="874"/>
      <c r="I31" s="875"/>
    </row>
    <row r="32" spans="1:9" ht="15.6">
      <c r="A32" s="876"/>
      <c r="B32" s="877"/>
      <c r="C32" s="877"/>
      <c r="D32" s="877"/>
      <c r="E32" s="877"/>
      <c r="F32" s="877"/>
      <c r="G32" s="877"/>
      <c r="H32" s="877"/>
      <c r="I32" s="878"/>
    </row>
    <row r="33" spans="1:9" ht="13.8">
      <c r="A33" s="879" t="s">
        <v>133</v>
      </c>
      <c r="B33" s="880"/>
      <c r="C33" s="880"/>
      <c r="D33" s="880"/>
      <c r="E33" s="880"/>
      <c r="F33" s="880"/>
      <c r="G33" s="880"/>
      <c r="H33" s="880"/>
      <c r="I33" s="881"/>
    </row>
    <row r="34" spans="1:9" ht="13.8">
      <c r="A34" s="882" t="s">
        <v>134</v>
      </c>
      <c r="B34" s="883"/>
      <c r="C34" s="883"/>
      <c r="D34" s="883"/>
      <c r="E34" s="883"/>
      <c r="F34" s="883"/>
      <c r="G34" s="883"/>
      <c r="H34" s="883"/>
      <c r="I34" s="884"/>
    </row>
    <row r="35" spans="1:9" ht="13.8">
      <c r="A35" s="832" t="s">
        <v>135</v>
      </c>
      <c r="B35" s="833"/>
      <c r="C35" s="833"/>
      <c r="D35" s="833"/>
      <c r="E35" s="833"/>
      <c r="F35" s="833"/>
      <c r="G35" s="833"/>
      <c r="H35" s="833"/>
      <c r="I35" s="834"/>
    </row>
    <row r="36" spans="1:9" ht="14.4">
      <c r="A36" s="863" t="s">
        <v>136</v>
      </c>
      <c r="B36" s="863"/>
      <c r="C36" s="916" t="str">
        <f>C8</f>
        <v>ROGER E. AMOLATO</v>
      </c>
      <c r="D36" s="916"/>
      <c r="E36" s="916"/>
      <c r="F36" s="916"/>
      <c r="G36" s="169" t="s">
        <v>137</v>
      </c>
      <c r="H36" s="859">
        <f>H8</f>
        <v>85448</v>
      </c>
      <c r="I36" s="859"/>
    </row>
    <row r="37" spans="1:9" ht="13.8">
      <c r="A37" s="375" t="s">
        <v>64</v>
      </c>
      <c r="B37" s="865" t="s">
        <v>1</v>
      </c>
      <c r="C37" s="865"/>
      <c r="D37" s="865"/>
      <c r="E37" s="865"/>
      <c r="F37" s="865"/>
      <c r="G37" s="865"/>
      <c r="H37" s="865"/>
      <c r="I37" s="865"/>
    </row>
    <row r="38" spans="1:9" ht="13.8">
      <c r="A38" s="375" t="s">
        <v>138</v>
      </c>
      <c r="B38" s="865" t="s">
        <v>139</v>
      </c>
      <c r="C38" s="865"/>
      <c r="D38" s="865"/>
      <c r="E38" s="865"/>
      <c r="F38" s="865"/>
      <c r="G38" s="865"/>
      <c r="H38" s="865"/>
      <c r="I38" s="865"/>
    </row>
    <row r="39" spans="1:9" ht="13.8">
      <c r="A39" s="866" t="s">
        <v>19</v>
      </c>
      <c r="B39" s="867"/>
      <c r="C39" s="867"/>
      <c r="D39" s="867"/>
      <c r="E39" s="867"/>
      <c r="F39" s="867"/>
      <c r="G39" s="862"/>
      <c r="H39" s="866" t="s">
        <v>140</v>
      </c>
      <c r="I39" s="862"/>
    </row>
    <row r="40" spans="1:9" ht="13.8">
      <c r="A40" s="207" t="s">
        <v>253</v>
      </c>
      <c r="B40" s="173"/>
      <c r="C40" s="173"/>
      <c r="D40" s="173"/>
      <c r="E40" s="173"/>
      <c r="F40" s="173"/>
      <c r="G40" s="208"/>
      <c r="H40" s="868">
        <v>200</v>
      </c>
      <c r="I40" s="869"/>
    </row>
    <row r="41" spans="1:9" ht="13.8">
      <c r="A41" s="207"/>
      <c r="B41" s="173"/>
      <c r="C41" s="173"/>
      <c r="D41" s="173"/>
      <c r="E41" s="173"/>
      <c r="F41" s="173"/>
      <c r="G41" s="208"/>
      <c r="H41" s="868"/>
      <c r="I41" s="869"/>
    </row>
    <row r="42" spans="1:9" ht="13.8">
      <c r="A42" s="207"/>
      <c r="B42" s="173"/>
      <c r="C42" s="173"/>
      <c r="D42" s="173"/>
      <c r="E42" s="173"/>
      <c r="F42" s="173"/>
      <c r="G42" s="208"/>
      <c r="H42" s="868"/>
      <c r="I42" s="869"/>
    </row>
    <row r="43" spans="1:9" ht="13.8">
      <c r="A43" s="870"/>
      <c r="B43" s="871"/>
      <c r="C43" s="871"/>
      <c r="D43" s="871"/>
      <c r="E43" s="871"/>
      <c r="F43" s="871"/>
      <c r="G43" s="872"/>
      <c r="H43" s="868"/>
      <c r="I43" s="869"/>
    </row>
    <row r="44" spans="1:9" ht="13.8">
      <c r="A44" s="860" t="s">
        <v>125</v>
      </c>
      <c r="B44" s="860"/>
      <c r="C44" s="860"/>
      <c r="D44" s="860"/>
      <c r="E44" s="860"/>
      <c r="F44" s="860"/>
      <c r="G44" s="860"/>
      <c r="H44" s="861">
        <f>SUM(H40:H43)</f>
        <v>200</v>
      </c>
      <c r="I44" s="862"/>
    </row>
    <row r="45" spans="1:9" ht="13.8">
      <c r="A45" s="843" t="s">
        <v>141</v>
      </c>
      <c r="B45" s="844"/>
      <c r="C45" s="844"/>
      <c r="D45" s="844"/>
      <c r="E45" s="844"/>
      <c r="F45" s="844"/>
      <c r="G45" s="844"/>
      <c r="H45" s="844"/>
      <c r="I45" s="845"/>
    </row>
    <row r="46" spans="1:9" ht="38.25" customHeight="1">
      <c r="A46" s="912" t="str">
        <f>A18</f>
        <v>To attend the BISU - Intelligente Publishing Inc. Training of Human Sourcebooks  on November 6-7, 2025, at the Multimedia Center, BISU Main Campus</v>
      </c>
      <c r="B46" s="913"/>
      <c r="C46" s="913"/>
      <c r="D46" s="913"/>
      <c r="E46" s="913"/>
      <c r="F46" s="913"/>
      <c r="G46" s="913"/>
      <c r="H46" s="913"/>
      <c r="I46" s="914"/>
    </row>
    <row r="47" spans="1:9">
      <c r="A47" s="915" t="s">
        <v>142</v>
      </c>
      <c r="B47" s="915"/>
      <c r="C47" s="915"/>
      <c r="D47" s="915"/>
      <c r="E47" s="915"/>
      <c r="F47" s="915"/>
      <c r="G47" s="915"/>
      <c r="H47" s="915"/>
      <c r="I47" s="915"/>
    </row>
    <row r="48" spans="1:9">
      <c r="A48" s="915"/>
      <c r="B48" s="915"/>
      <c r="C48" s="915"/>
      <c r="D48" s="915"/>
      <c r="E48" s="915"/>
      <c r="F48" s="915"/>
      <c r="G48" s="915"/>
      <c r="H48" s="915"/>
      <c r="I48" s="915"/>
    </row>
    <row r="49" spans="1:9" ht="24" customHeight="1">
      <c r="A49" s="915"/>
      <c r="B49" s="915"/>
      <c r="C49" s="915"/>
      <c r="D49" s="915"/>
      <c r="E49" s="915"/>
      <c r="F49" s="915"/>
      <c r="G49" s="915"/>
      <c r="H49" s="915"/>
      <c r="I49" s="915"/>
    </row>
    <row r="50" spans="1:9" ht="13.8">
      <c r="A50" s="859"/>
      <c r="B50" s="859"/>
      <c r="C50" s="859"/>
      <c r="D50" s="838" t="s">
        <v>143</v>
      </c>
      <c r="E50" s="838"/>
      <c r="F50" s="838"/>
      <c r="G50" s="838" t="s">
        <v>144</v>
      </c>
      <c r="H50" s="838"/>
      <c r="I50" s="838"/>
    </row>
    <row r="51" spans="1:9" ht="18" customHeight="1">
      <c r="A51" s="838" t="s">
        <v>145</v>
      </c>
      <c r="B51" s="838"/>
      <c r="C51" s="838"/>
      <c r="D51" s="839"/>
      <c r="E51" s="840"/>
      <c r="F51" s="841"/>
      <c r="G51" s="842"/>
      <c r="H51" s="840"/>
      <c r="I51" s="841"/>
    </row>
    <row r="52" spans="1:9" ht="16.5" customHeight="1">
      <c r="A52" s="843" t="s">
        <v>82</v>
      </c>
      <c r="B52" s="844"/>
      <c r="C52" s="845"/>
      <c r="D52" s="849" t="str">
        <f>C36</f>
        <v>ROGER E. AMOLATO</v>
      </c>
      <c r="E52" s="850"/>
      <c r="F52" s="851"/>
      <c r="G52" s="849" t="str">
        <f>G24</f>
        <v>MARK JUBEN M. PILAPIL</v>
      </c>
      <c r="H52" s="850"/>
      <c r="I52" s="851"/>
    </row>
    <row r="53" spans="1:9" ht="5.25" customHeight="1">
      <c r="A53" s="846"/>
      <c r="B53" s="847"/>
      <c r="C53" s="848"/>
      <c r="D53" s="852"/>
      <c r="E53" s="853"/>
      <c r="F53" s="854"/>
      <c r="G53" s="852"/>
      <c r="H53" s="853"/>
      <c r="I53" s="854"/>
    </row>
    <row r="54" spans="1:9" ht="13.8">
      <c r="A54" s="829"/>
      <c r="B54" s="830"/>
      <c r="C54" s="831"/>
      <c r="D54" s="835" t="str">
        <f>D26</f>
        <v>Instructor I - Temporary</v>
      </c>
      <c r="E54" s="835"/>
      <c r="F54" s="835"/>
      <c r="G54" s="835" t="s">
        <v>130</v>
      </c>
      <c r="H54" s="835"/>
      <c r="I54" s="835"/>
    </row>
    <row r="55" spans="1:9" ht="13.8">
      <c r="A55" s="832"/>
      <c r="B55" s="833"/>
      <c r="C55" s="834"/>
      <c r="D55" s="171" t="s">
        <v>50</v>
      </c>
      <c r="E55" s="836"/>
      <c r="F55" s="837"/>
      <c r="G55" s="171" t="s">
        <v>50</v>
      </c>
      <c r="H55" s="836"/>
      <c r="I55" s="837"/>
    </row>
  </sheetData>
  <mergeCells count="76">
    <mergeCell ref="A54:C55"/>
    <mergeCell ref="D54:F54"/>
    <mergeCell ref="G54:I54"/>
    <mergeCell ref="E55:F55"/>
    <mergeCell ref="H55:I55"/>
    <mergeCell ref="A51:C51"/>
    <mergeCell ref="D51:F51"/>
    <mergeCell ref="G51:I51"/>
    <mergeCell ref="A52:C53"/>
    <mergeCell ref="D52:F53"/>
    <mergeCell ref="G52:I53"/>
    <mergeCell ref="A45:I45"/>
    <mergeCell ref="A46:I46"/>
    <mergeCell ref="A47:I49"/>
    <mergeCell ref="A50:C50"/>
    <mergeCell ref="D50:F50"/>
    <mergeCell ref="G50:I50"/>
    <mergeCell ref="A44:G44"/>
    <mergeCell ref="H44:I44"/>
    <mergeCell ref="A36:B36"/>
    <mergeCell ref="C36:F36"/>
    <mergeCell ref="H36:I36"/>
    <mergeCell ref="B37:I37"/>
    <mergeCell ref="B38:I38"/>
    <mergeCell ref="A39:G39"/>
    <mergeCell ref="H39:I39"/>
    <mergeCell ref="H40:I40"/>
    <mergeCell ref="H41:I41"/>
    <mergeCell ref="H42:I42"/>
    <mergeCell ref="A43:G43"/>
    <mergeCell ref="H43:I43"/>
    <mergeCell ref="A35:I35"/>
    <mergeCell ref="A26:C27"/>
    <mergeCell ref="D26:F26"/>
    <mergeCell ref="G26:I26"/>
    <mergeCell ref="E27:F27"/>
    <mergeCell ref="H27:I27"/>
    <mergeCell ref="A29:I29"/>
    <mergeCell ref="A30:I30"/>
    <mergeCell ref="A31:I31"/>
    <mergeCell ref="A32:I32"/>
    <mergeCell ref="A33:I33"/>
    <mergeCell ref="A34:I34"/>
    <mergeCell ref="A23:C23"/>
    <mergeCell ref="D23:F23"/>
    <mergeCell ref="G23:I23"/>
    <mergeCell ref="A24:C25"/>
    <mergeCell ref="D24:F25"/>
    <mergeCell ref="G24:I25"/>
    <mergeCell ref="A22:C22"/>
    <mergeCell ref="D22:F22"/>
    <mergeCell ref="G22:I22"/>
    <mergeCell ref="A11:G11"/>
    <mergeCell ref="H11:I11"/>
    <mergeCell ref="H12:I12"/>
    <mergeCell ref="H13:I13"/>
    <mergeCell ref="H14:I14"/>
    <mergeCell ref="A15:G15"/>
    <mergeCell ref="H15:I15"/>
    <mergeCell ref="A16:G16"/>
    <mergeCell ref="H16:I16"/>
    <mergeCell ref="A17:I17"/>
    <mergeCell ref="A18:I18"/>
    <mergeCell ref="A19:I21"/>
    <mergeCell ref="B10:I10"/>
    <mergeCell ref="A1:I1"/>
    <mergeCell ref="A2:I2"/>
    <mergeCell ref="A3:I3"/>
    <mergeCell ref="A4:I4"/>
    <mergeCell ref="A5:I5"/>
    <mergeCell ref="A6:I6"/>
    <mergeCell ref="A7:I7"/>
    <mergeCell ref="A8:B8"/>
    <mergeCell ref="C8:F8"/>
    <mergeCell ref="H8:I8"/>
    <mergeCell ref="B9:I9"/>
  </mergeCells>
  <pageMargins left="1.19" right="0.7" top="0.47" bottom="0.75" header="0.3" footer="0.3"/>
  <pageSetup scale="89" orientation="portrait"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5"/>
  <sheetViews>
    <sheetView zoomScale="78" zoomScaleNormal="145" workbookViewId="0">
      <selection activeCell="B37" sqref="B37:I37"/>
    </sheetView>
  </sheetViews>
  <sheetFormatPr defaultRowHeight="13.2"/>
  <cols>
    <col min="7" max="7" width="11.88671875" customWidth="1"/>
    <col min="9" max="9" width="12" customWidth="1"/>
  </cols>
  <sheetData>
    <row r="1" spans="1:12" ht="13.8">
      <c r="A1" s="829" t="s">
        <v>131</v>
      </c>
      <c r="B1" s="830"/>
      <c r="C1" s="830"/>
      <c r="D1" s="830"/>
      <c r="E1" s="830"/>
      <c r="F1" s="830"/>
      <c r="G1" s="830"/>
      <c r="H1" s="830"/>
      <c r="I1" s="831"/>
    </row>
    <row r="2" spans="1:12" ht="13.8">
      <c r="A2" s="873" t="s">
        <v>132</v>
      </c>
      <c r="B2" s="874"/>
      <c r="C2" s="874"/>
      <c r="D2" s="874"/>
      <c r="E2" s="874"/>
      <c r="F2" s="874"/>
      <c r="G2" s="874"/>
      <c r="H2" s="874"/>
      <c r="I2" s="875"/>
    </row>
    <row r="3" spans="1:12" ht="13.8">
      <c r="A3" s="873" t="s">
        <v>65</v>
      </c>
      <c r="B3" s="874"/>
      <c r="C3" s="874"/>
      <c r="D3" s="874"/>
      <c r="E3" s="874"/>
      <c r="F3" s="874"/>
      <c r="G3" s="874"/>
      <c r="H3" s="874"/>
      <c r="I3" s="875"/>
    </row>
    <row r="4" spans="1:12" ht="15.6">
      <c r="A4" s="876"/>
      <c r="B4" s="877"/>
      <c r="C4" s="877"/>
      <c r="D4" s="877"/>
      <c r="E4" s="877"/>
      <c r="F4" s="877"/>
      <c r="G4" s="877"/>
      <c r="H4" s="877"/>
      <c r="I4" s="878"/>
    </row>
    <row r="5" spans="1:12" ht="13.8">
      <c r="A5" s="879" t="s">
        <v>133</v>
      </c>
      <c r="B5" s="880"/>
      <c r="C5" s="880"/>
      <c r="D5" s="880"/>
      <c r="E5" s="880"/>
      <c r="F5" s="880"/>
      <c r="G5" s="880"/>
      <c r="H5" s="880"/>
      <c r="I5" s="881"/>
    </row>
    <row r="6" spans="1:12" ht="13.8">
      <c r="A6" s="882" t="s">
        <v>134</v>
      </c>
      <c r="B6" s="883"/>
      <c r="C6" s="883"/>
      <c r="D6" s="883"/>
      <c r="E6" s="883"/>
      <c r="F6" s="883"/>
      <c r="G6" s="883"/>
      <c r="H6" s="883"/>
      <c r="I6" s="884"/>
    </row>
    <row r="7" spans="1:12" ht="13.8">
      <c r="A7" s="832" t="s">
        <v>135</v>
      </c>
      <c r="B7" s="833"/>
      <c r="C7" s="833"/>
      <c r="D7" s="833"/>
      <c r="E7" s="833"/>
      <c r="F7" s="833"/>
      <c r="G7" s="833"/>
      <c r="H7" s="833"/>
      <c r="I7" s="834"/>
    </row>
    <row r="8" spans="1:12" ht="14.4">
      <c r="A8" s="863" t="s">
        <v>136</v>
      </c>
      <c r="B8" s="863"/>
      <c r="C8" s="916" t="str">
        <f>IT!B9</f>
        <v>ROGER E. AMOLATO</v>
      </c>
      <c r="D8" s="916"/>
      <c r="E8" s="916"/>
      <c r="F8" s="916"/>
      <c r="G8" s="169" t="s">
        <v>137</v>
      </c>
      <c r="H8" s="859"/>
      <c r="I8" s="859"/>
    </row>
    <row r="9" spans="1:12" ht="13.8">
      <c r="A9" s="347" t="s">
        <v>64</v>
      </c>
      <c r="B9" s="865" t="s">
        <v>1</v>
      </c>
      <c r="C9" s="865"/>
      <c r="D9" s="865"/>
      <c r="E9" s="865"/>
      <c r="F9" s="865"/>
      <c r="G9" s="865"/>
      <c r="H9" s="865"/>
      <c r="I9" s="865"/>
      <c r="L9">
        <f>200+35+30+80</f>
        <v>345</v>
      </c>
    </row>
    <row r="10" spans="1:12" ht="13.8">
      <c r="A10" s="347" t="s">
        <v>138</v>
      </c>
      <c r="B10" s="865" t="s">
        <v>139</v>
      </c>
      <c r="C10" s="865"/>
      <c r="D10" s="865"/>
      <c r="E10" s="865"/>
      <c r="F10" s="865"/>
      <c r="G10" s="865"/>
      <c r="H10" s="865"/>
      <c r="I10" s="865"/>
    </row>
    <row r="11" spans="1:12" ht="13.8">
      <c r="A11" s="866" t="s">
        <v>19</v>
      </c>
      <c r="B11" s="867"/>
      <c r="C11" s="867"/>
      <c r="D11" s="867"/>
      <c r="E11" s="867"/>
      <c r="F11" s="867"/>
      <c r="G11" s="862"/>
      <c r="H11" s="866" t="s">
        <v>140</v>
      </c>
      <c r="I11" s="862"/>
    </row>
    <row r="12" spans="1:12" ht="13.8">
      <c r="A12" s="207" t="s">
        <v>246</v>
      </c>
      <c r="B12" s="173"/>
      <c r="C12" s="173"/>
      <c r="D12" s="173"/>
      <c r="E12" s="173"/>
      <c r="F12" s="173"/>
      <c r="G12" s="208"/>
      <c r="H12" s="868">
        <v>100</v>
      </c>
      <c r="I12" s="869"/>
    </row>
    <row r="13" spans="1:12" ht="13.8">
      <c r="A13" s="207" t="s">
        <v>229</v>
      </c>
      <c r="B13" s="173"/>
      <c r="C13" s="173"/>
      <c r="D13" s="173"/>
      <c r="E13" s="173"/>
      <c r="F13" s="173"/>
      <c r="G13" s="208"/>
      <c r="H13" s="868">
        <v>200</v>
      </c>
      <c r="I13" s="869"/>
    </row>
    <row r="14" spans="1:12" ht="13.8">
      <c r="A14" s="207"/>
      <c r="B14" s="173"/>
      <c r="C14" s="173"/>
      <c r="D14" s="173"/>
      <c r="E14" s="173"/>
      <c r="F14" s="173"/>
      <c r="G14" s="208"/>
      <c r="H14" s="868"/>
      <c r="I14" s="869"/>
    </row>
    <row r="15" spans="1:12" ht="13.8">
      <c r="A15" s="870"/>
      <c r="B15" s="871"/>
      <c r="C15" s="871"/>
      <c r="D15" s="871"/>
      <c r="E15" s="871"/>
      <c r="F15" s="871"/>
      <c r="G15" s="872"/>
      <c r="H15" s="868"/>
      <c r="I15" s="869"/>
    </row>
    <row r="16" spans="1:12" ht="13.8">
      <c r="A16" s="860" t="s">
        <v>125</v>
      </c>
      <c r="B16" s="860"/>
      <c r="C16" s="860"/>
      <c r="D16" s="860"/>
      <c r="E16" s="860"/>
      <c r="F16" s="860"/>
      <c r="G16" s="860"/>
      <c r="H16" s="861">
        <f>SUM(H12:H15)</f>
        <v>300</v>
      </c>
      <c r="I16" s="862"/>
    </row>
    <row r="17" spans="1:9" ht="13.8">
      <c r="A17" s="843" t="s">
        <v>141</v>
      </c>
      <c r="B17" s="844"/>
      <c r="C17" s="844"/>
      <c r="D17" s="844"/>
      <c r="E17" s="844"/>
      <c r="F17" s="844"/>
      <c r="G17" s="844"/>
      <c r="H17" s="844"/>
      <c r="I17" s="845"/>
    </row>
    <row r="18" spans="1:9" ht="39" customHeight="1">
      <c r="A18" s="917" t="s">
        <v>233</v>
      </c>
      <c r="B18" s="918"/>
      <c r="C18" s="918"/>
      <c r="D18" s="918"/>
      <c r="E18" s="918"/>
      <c r="F18" s="918"/>
      <c r="G18" s="918"/>
      <c r="H18" s="918"/>
      <c r="I18" s="919"/>
    </row>
    <row r="19" spans="1:9">
      <c r="A19" s="891" t="s">
        <v>142</v>
      </c>
      <c r="B19" s="892"/>
      <c r="C19" s="892"/>
      <c r="D19" s="892"/>
      <c r="E19" s="892"/>
      <c r="F19" s="892"/>
      <c r="G19" s="892"/>
      <c r="H19" s="892"/>
      <c r="I19" s="893"/>
    </row>
    <row r="20" spans="1:9">
      <c r="A20" s="894"/>
      <c r="B20" s="895"/>
      <c r="C20" s="895"/>
      <c r="D20" s="895"/>
      <c r="E20" s="895"/>
      <c r="F20" s="895"/>
      <c r="G20" s="895"/>
      <c r="H20" s="895"/>
      <c r="I20" s="896"/>
    </row>
    <row r="21" spans="1:9" ht="24" customHeight="1">
      <c r="A21" s="897"/>
      <c r="B21" s="898"/>
      <c r="C21" s="898"/>
      <c r="D21" s="898"/>
      <c r="E21" s="898"/>
      <c r="F21" s="898"/>
      <c r="G21" s="898"/>
      <c r="H21" s="898"/>
      <c r="I21" s="899"/>
    </row>
    <row r="22" spans="1:9" ht="13.8">
      <c r="A22" s="859"/>
      <c r="B22" s="859"/>
      <c r="C22" s="859"/>
      <c r="D22" s="838" t="s">
        <v>143</v>
      </c>
      <c r="E22" s="838"/>
      <c r="F22" s="838"/>
      <c r="G22" s="838" t="s">
        <v>144</v>
      </c>
      <c r="H22" s="838"/>
      <c r="I22" s="838"/>
    </row>
    <row r="23" spans="1:9" ht="23.25" customHeight="1">
      <c r="A23" s="838" t="s">
        <v>145</v>
      </c>
      <c r="B23" s="838"/>
      <c r="C23" s="838"/>
      <c r="D23" s="839"/>
      <c r="E23" s="840"/>
      <c r="F23" s="841"/>
      <c r="G23" s="842"/>
      <c r="H23" s="840"/>
      <c r="I23" s="841"/>
    </row>
    <row r="24" spans="1:9" ht="16.5" customHeight="1">
      <c r="A24" s="885" t="s">
        <v>82</v>
      </c>
      <c r="B24" s="886"/>
      <c r="C24" s="887"/>
      <c r="D24" s="849" t="str">
        <f>C8</f>
        <v>ROGER E. AMOLATO</v>
      </c>
      <c r="E24" s="850"/>
      <c r="F24" s="851"/>
      <c r="G24" s="849" t="str">
        <f>IT!A44</f>
        <v>MARK JUBEN M. PILAPIL</v>
      </c>
      <c r="H24" s="850"/>
      <c r="I24" s="851"/>
    </row>
    <row r="25" spans="1:9" ht="7.5" customHeight="1">
      <c r="A25" s="888"/>
      <c r="B25" s="889"/>
      <c r="C25" s="890"/>
      <c r="D25" s="852"/>
      <c r="E25" s="853"/>
      <c r="F25" s="854"/>
      <c r="G25" s="852"/>
      <c r="H25" s="853"/>
      <c r="I25" s="854"/>
    </row>
    <row r="26" spans="1:9" ht="13.8">
      <c r="A26" s="829"/>
      <c r="B26" s="830"/>
      <c r="C26" s="831"/>
      <c r="D26" s="835" t="str">
        <f>Source!A2</f>
        <v>Instructor I - Temporary</v>
      </c>
      <c r="E26" s="835"/>
      <c r="F26" s="835"/>
      <c r="G26" s="835" t="s">
        <v>130</v>
      </c>
      <c r="H26" s="835"/>
      <c r="I26" s="835"/>
    </row>
    <row r="27" spans="1:9" ht="13.8">
      <c r="A27" s="832"/>
      <c r="B27" s="833"/>
      <c r="C27" s="834"/>
      <c r="D27" s="171" t="s">
        <v>50</v>
      </c>
      <c r="E27" s="836"/>
      <c r="F27" s="837"/>
      <c r="G27" s="171" t="s">
        <v>50</v>
      </c>
      <c r="H27" s="836"/>
      <c r="I27" s="837"/>
    </row>
    <row r="28" spans="1:9" ht="13.8">
      <c r="A28" s="348"/>
      <c r="B28" s="348"/>
      <c r="C28" s="348"/>
      <c r="D28" s="173"/>
      <c r="E28" s="174"/>
      <c r="F28" s="174"/>
      <c r="G28" s="173"/>
      <c r="H28" s="174"/>
      <c r="I28" s="174"/>
    </row>
    <row r="29" spans="1:9" ht="13.8">
      <c r="A29" s="829" t="s">
        <v>131</v>
      </c>
      <c r="B29" s="830"/>
      <c r="C29" s="830"/>
      <c r="D29" s="830"/>
      <c r="E29" s="830"/>
      <c r="F29" s="830"/>
      <c r="G29" s="830"/>
      <c r="H29" s="830"/>
      <c r="I29" s="831"/>
    </row>
    <row r="30" spans="1:9" ht="13.8">
      <c r="A30" s="873" t="s">
        <v>132</v>
      </c>
      <c r="B30" s="874"/>
      <c r="C30" s="874"/>
      <c r="D30" s="874"/>
      <c r="E30" s="874"/>
      <c r="F30" s="874"/>
      <c r="G30" s="874"/>
      <c r="H30" s="874"/>
      <c r="I30" s="875"/>
    </row>
    <row r="31" spans="1:9" ht="13.8">
      <c r="A31" s="873" t="s">
        <v>65</v>
      </c>
      <c r="B31" s="874"/>
      <c r="C31" s="874"/>
      <c r="D31" s="874"/>
      <c r="E31" s="874"/>
      <c r="F31" s="874"/>
      <c r="G31" s="874"/>
      <c r="H31" s="874"/>
      <c r="I31" s="875"/>
    </row>
    <row r="32" spans="1:9" ht="15.6">
      <c r="A32" s="876"/>
      <c r="B32" s="877"/>
      <c r="C32" s="877"/>
      <c r="D32" s="877"/>
      <c r="E32" s="877"/>
      <c r="F32" s="877"/>
      <c r="G32" s="877"/>
      <c r="H32" s="877"/>
      <c r="I32" s="878"/>
    </row>
    <row r="33" spans="1:9" ht="13.8">
      <c r="A33" s="879" t="s">
        <v>133</v>
      </c>
      <c r="B33" s="880"/>
      <c r="C33" s="880"/>
      <c r="D33" s="880"/>
      <c r="E33" s="880"/>
      <c r="F33" s="880"/>
      <c r="G33" s="880"/>
      <c r="H33" s="880"/>
      <c r="I33" s="881"/>
    </row>
    <row r="34" spans="1:9" ht="13.8">
      <c r="A34" s="882" t="s">
        <v>134</v>
      </c>
      <c r="B34" s="883"/>
      <c r="C34" s="883"/>
      <c r="D34" s="883"/>
      <c r="E34" s="883"/>
      <c r="F34" s="883"/>
      <c r="G34" s="883"/>
      <c r="H34" s="883"/>
      <c r="I34" s="884"/>
    </row>
    <row r="35" spans="1:9" ht="13.8">
      <c r="A35" s="832" t="s">
        <v>135</v>
      </c>
      <c r="B35" s="833"/>
      <c r="C35" s="833"/>
      <c r="D35" s="833"/>
      <c r="E35" s="833"/>
      <c r="F35" s="833"/>
      <c r="G35" s="833"/>
      <c r="H35" s="833"/>
      <c r="I35" s="834"/>
    </row>
    <row r="36" spans="1:9" ht="14.4">
      <c r="A36" s="863" t="s">
        <v>136</v>
      </c>
      <c r="B36" s="863"/>
      <c r="C36" s="916" t="str">
        <f>C8</f>
        <v>ROGER E. AMOLATO</v>
      </c>
      <c r="D36" s="916"/>
      <c r="E36" s="916"/>
      <c r="F36" s="916"/>
      <c r="G36" s="169" t="s">
        <v>137</v>
      </c>
      <c r="H36" s="859"/>
      <c r="I36" s="859"/>
    </row>
    <row r="37" spans="1:9" ht="13.8">
      <c r="A37" s="347" t="s">
        <v>64</v>
      </c>
      <c r="B37" s="865" t="s">
        <v>1</v>
      </c>
      <c r="C37" s="865"/>
      <c r="D37" s="865"/>
      <c r="E37" s="865"/>
      <c r="F37" s="865"/>
      <c r="G37" s="865"/>
      <c r="H37" s="865"/>
      <c r="I37" s="865"/>
    </row>
    <row r="38" spans="1:9" ht="13.8">
      <c r="A38" s="347" t="s">
        <v>138</v>
      </c>
      <c r="B38" s="865" t="s">
        <v>139</v>
      </c>
      <c r="C38" s="865"/>
      <c r="D38" s="865"/>
      <c r="E38" s="865"/>
      <c r="F38" s="865"/>
      <c r="G38" s="865"/>
      <c r="H38" s="865"/>
      <c r="I38" s="865"/>
    </row>
    <row r="39" spans="1:9" ht="13.8">
      <c r="A39" s="866" t="s">
        <v>19</v>
      </c>
      <c r="B39" s="867"/>
      <c r="C39" s="867"/>
      <c r="D39" s="867"/>
      <c r="E39" s="867"/>
      <c r="F39" s="867"/>
      <c r="G39" s="862"/>
      <c r="H39" s="866" t="s">
        <v>140</v>
      </c>
      <c r="I39" s="862"/>
    </row>
    <row r="40" spans="1:9" ht="13.8">
      <c r="A40" s="207" t="str">
        <f>A12</f>
        <v>Bus Fare (Cebu Seaport - SM Terminal)</v>
      </c>
      <c r="B40" s="173"/>
      <c r="C40" s="173"/>
      <c r="D40" s="173"/>
      <c r="E40" s="173"/>
      <c r="F40" s="173"/>
      <c r="G40" s="208"/>
      <c r="H40" s="868">
        <f>H12</f>
        <v>100</v>
      </c>
      <c r="I40" s="869"/>
    </row>
    <row r="41" spans="1:9" ht="13.8">
      <c r="A41" s="207" t="str">
        <f t="shared" ref="A41:A42" si="0">A13</f>
        <v>V-Hire Fare (Dao Terminal - Anda)</v>
      </c>
      <c r="B41" s="173"/>
      <c r="C41" s="173"/>
      <c r="D41" s="173"/>
      <c r="E41" s="173"/>
      <c r="F41" s="173"/>
      <c r="G41" s="208"/>
      <c r="H41" s="868">
        <f>H13</f>
        <v>200</v>
      </c>
      <c r="I41" s="869"/>
    </row>
    <row r="42" spans="1:9" ht="13.8">
      <c r="A42" s="207">
        <f t="shared" si="0"/>
        <v>0</v>
      </c>
      <c r="B42" s="173"/>
      <c r="C42" s="173"/>
      <c r="D42" s="173"/>
      <c r="E42" s="173"/>
      <c r="F42" s="173"/>
      <c r="G42" s="208"/>
      <c r="H42" s="868">
        <f>H14</f>
        <v>0</v>
      </c>
      <c r="I42" s="869"/>
    </row>
    <row r="43" spans="1:9" ht="13.8">
      <c r="A43" s="870"/>
      <c r="B43" s="871"/>
      <c r="C43" s="871"/>
      <c r="D43" s="871"/>
      <c r="E43" s="871"/>
      <c r="F43" s="871"/>
      <c r="G43" s="872"/>
      <c r="H43" s="868">
        <f>H15</f>
        <v>0</v>
      </c>
      <c r="I43" s="869"/>
    </row>
    <row r="44" spans="1:9" ht="13.8">
      <c r="A44" s="860" t="s">
        <v>125</v>
      </c>
      <c r="B44" s="860"/>
      <c r="C44" s="860"/>
      <c r="D44" s="860"/>
      <c r="E44" s="860"/>
      <c r="F44" s="860"/>
      <c r="G44" s="860"/>
      <c r="H44" s="861">
        <f>SUM(H40:H43)</f>
        <v>300</v>
      </c>
      <c r="I44" s="862"/>
    </row>
    <row r="45" spans="1:9" ht="13.8">
      <c r="A45" s="843" t="s">
        <v>141</v>
      </c>
      <c r="B45" s="844"/>
      <c r="C45" s="844"/>
      <c r="D45" s="844"/>
      <c r="E45" s="844"/>
      <c r="F45" s="844"/>
      <c r="G45" s="844"/>
      <c r="H45" s="844"/>
      <c r="I45" s="845"/>
    </row>
    <row r="46" spans="1:9" ht="38.25" customHeight="1">
      <c r="A46" s="917" t="s">
        <v>233</v>
      </c>
      <c r="B46" s="918"/>
      <c r="C46" s="918"/>
      <c r="D46" s="918"/>
      <c r="E46" s="918"/>
      <c r="F46" s="918"/>
      <c r="G46" s="918"/>
      <c r="H46" s="918"/>
      <c r="I46" s="919"/>
    </row>
    <row r="47" spans="1:9">
      <c r="A47" s="858" t="s">
        <v>142</v>
      </c>
      <c r="B47" s="858"/>
      <c r="C47" s="858"/>
      <c r="D47" s="858"/>
      <c r="E47" s="858"/>
      <c r="F47" s="858"/>
      <c r="G47" s="858"/>
      <c r="H47" s="858"/>
      <c r="I47" s="858"/>
    </row>
    <row r="48" spans="1:9">
      <c r="A48" s="858"/>
      <c r="B48" s="858"/>
      <c r="C48" s="858"/>
      <c r="D48" s="858"/>
      <c r="E48" s="858"/>
      <c r="F48" s="858"/>
      <c r="G48" s="858"/>
      <c r="H48" s="858"/>
      <c r="I48" s="858"/>
    </row>
    <row r="49" spans="1:9" ht="24" customHeight="1">
      <c r="A49" s="858"/>
      <c r="B49" s="858"/>
      <c r="C49" s="858"/>
      <c r="D49" s="858"/>
      <c r="E49" s="858"/>
      <c r="F49" s="858"/>
      <c r="G49" s="858"/>
      <c r="H49" s="858"/>
      <c r="I49" s="858"/>
    </row>
    <row r="50" spans="1:9" ht="13.8">
      <c r="A50" s="859"/>
      <c r="B50" s="859"/>
      <c r="C50" s="859"/>
      <c r="D50" s="838" t="s">
        <v>143</v>
      </c>
      <c r="E50" s="838"/>
      <c r="F50" s="838"/>
      <c r="G50" s="838" t="s">
        <v>144</v>
      </c>
      <c r="H50" s="838"/>
      <c r="I50" s="838"/>
    </row>
    <row r="51" spans="1:9" ht="18" customHeight="1">
      <c r="A51" s="838" t="s">
        <v>145</v>
      </c>
      <c r="B51" s="838"/>
      <c r="C51" s="838"/>
      <c r="D51" s="839"/>
      <c r="E51" s="840"/>
      <c r="F51" s="841"/>
      <c r="G51" s="842"/>
      <c r="H51" s="840"/>
      <c r="I51" s="841"/>
    </row>
    <row r="52" spans="1:9" ht="16.5" customHeight="1">
      <c r="A52" s="843" t="s">
        <v>82</v>
      </c>
      <c r="B52" s="844"/>
      <c r="C52" s="845"/>
      <c r="D52" s="849" t="str">
        <f>C36</f>
        <v>ROGER E. AMOLATO</v>
      </c>
      <c r="E52" s="850"/>
      <c r="F52" s="851"/>
      <c r="G52" s="849" t="str">
        <f>G24</f>
        <v>MARK JUBEN M. PILAPIL</v>
      </c>
      <c r="H52" s="850"/>
      <c r="I52" s="851"/>
    </row>
    <row r="53" spans="1:9" ht="5.25" customHeight="1">
      <c r="A53" s="846"/>
      <c r="B53" s="847"/>
      <c r="C53" s="848"/>
      <c r="D53" s="852"/>
      <c r="E53" s="853"/>
      <c r="F53" s="854"/>
      <c r="G53" s="852"/>
      <c r="H53" s="853"/>
      <c r="I53" s="854"/>
    </row>
    <row r="54" spans="1:9" ht="13.8">
      <c r="A54" s="829"/>
      <c r="B54" s="830"/>
      <c r="C54" s="831"/>
      <c r="D54" s="835" t="str">
        <f>D26</f>
        <v>Instructor I - Temporary</v>
      </c>
      <c r="E54" s="835"/>
      <c r="F54" s="835"/>
      <c r="G54" s="835" t="s">
        <v>130</v>
      </c>
      <c r="H54" s="835"/>
      <c r="I54" s="835"/>
    </row>
    <row r="55" spans="1:9" ht="13.8">
      <c r="A55" s="832"/>
      <c r="B55" s="833"/>
      <c r="C55" s="834"/>
      <c r="D55" s="171" t="s">
        <v>50</v>
      </c>
      <c r="E55" s="836"/>
      <c r="F55" s="837"/>
      <c r="G55" s="171" t="s">
        <v>50</v>
      </c>
      <c r="H55" s="836"/>
      <c r="I55" s="837"/>
    </row>
  </sheetData>
  <mergeCells count="76">
    <mergeCell ref="B10:I10"/>
    <mergeCell ref="A1:I1"/>
    <mergeCell ref="A2:I2"/>
    <mergeCell ref="A3:I3"/>
    <mergeCell ref="A4:I4"/>
    <mergeCell ref="A5:I5"/>
    <mergeCell ref="A6:I6"/>
    <mergeCell ref="A7:I7"/>
    <mergeCell ref="A8:B8"/>
    <mergeCell ref="C8:F8"/>
    <mergeCell ref="H8:I8"/>
    <mergeCell ref="B9:I9"/>
    <mergeCell ref="A22:C22"/>
    <mergeCell ref="D22:F22"/>
    <mergeCell ref="G22:I22"/>
    <mergeCell ref="A11:G11"/>
    <mergeCell ref="H11:I11"/>
    <mergeCell ref="H12:I12"/>
    <mergeCell ref="H13:I13"/>
    <mergeCell ref="H14:I14"/>
    <mergeCell ref="A15:G15"/>
    <mergeCell ref="H15:I15"/>
    <mergeCell ref="A16:G16"/>
    <mergeCell ref="H16:I16"/>
    <mergeCell ref="A17:I17"/>
    <mergeCell ref="A18:I18"/>
    <mergeCell ref="A19:I21"/>
    <mergeCell ref="A23:C23"/>
    <mergeCell ref="D23:F23"/>
    <mergeCell ref="G23:I23"/>
    <mergeCell ref="A24:C25"/>
    <mergeCell ref="D24:F25"/>
    <mergeCell ref="G24:I25"/>
    <mergeCell ref="A35:I35"/>
    <mergeCell ref="A26:C27"/>
    <mergeCell ref="D26:F26"/>
    <mergeCell ref="G26:I26"/>
    <mergeCell ref="E27:F27"/>
    <mergeCell ref="H27:I27"/>
    <mergeCell ref="A29:I29"/>
    <mergeCell ref="A30:I30"/>
    <mergeCell ref="A31:I31"/>
    <mergeCell ref="A32:I32"/>
    <mergeCell ref="A33:I33"/>
    <mergeCell ref="A34:I34"/>
    <mergeCell ref="A44:G44"/>
    <mergeCell ref="H44:I44"/>
    <mergeCell ref="A36:B36"/>
    <mergeCell ref="C36:F36"/>
    <mergeCell ref="H36:I36"/>
    <mergeCell ref="B37:I37"/>
    <mergeCell ref="B38:I38"/>
    <mergeCell ref="A39:G39"/>
    <mergeCell ref="H39:I39"/>
    <mergeCell ref="H40:I40"/>
    <mergeCell ref="H41:I41"/>
    <mergeCell ref="H42:I42"/>
    <mergeCell ref="A43:G43"/>
    <mergeCell ref="H43:I43"/>
    <mergeCell ref="A45:I45"/>
    <mergeCell ref="A46:I46"/>
    <mergeCell ref="A47:I49"/>
    <mergeCell ref="A50:C50"/>
    <mergeCell ref="D50:F50"/>
    <mergeCell ref="G50:I50"/>
    <mergeCell ref="A51:C51"/>
    <mergeCell ref="D51:F51"/>
    <mergeCell ref="G51:I51"/>
    <mergeCell ref="A52:C53"/>
    <mergeCell ref="D52:F53"/>
    <mergeCell ref="G52:I53"/>
    <mergeCell ref="A54:C55"/>
    <mergeCell ref="D54:F54"/>
    <mergeCell ref="G54:I54"/>
    <mergeCell ref="E55:F55"/>
    <mergeCell ref="H55:I55"/>
  </mergeCells>
  <pageMargins left="1.19" right="0.7" top="0.47" bottom="0.75" header="0.3" footer="0.3"/>
  <pageSetup paperSize="9" scale="93" orientation="portrait"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5"/>
  <sheetViews>
    <sheetView zoomScale="145" zoomScaleNormal="145" workbookViewId="0">
      <selection activeCell="B37" sqref="B37:I37"/>
    </sheetView>
  </sheetViews>
  <sheetFormatPr defaultRowHeight="13.2"/>
  <cols>
    <col min="7" max="7" width="11.88671875" customWidth="1"/>
    <col min="9" max="9" width="12" customWidth="1"/>
  </cols>
  <sheetData>
    <row r="1" spans="1:9" ht="13.8">
      <c r="A1" s="829" t="s">
        <v>131</v>
      </c>
      <c r="B1" s="830"/>
      <c r="C1" s="830"/>
      <c r="D1" s="830"/>
      <c r="E1" s="830"/>
      <c r="F1" s="830"/>
      <c r="G1" s="830"/>
      <c r="H1" s="830"/>
      <c r="I1" s="831"/>
    </row>
    <row r="2" spans="1:9" ht="13.8">
      <c r="A2" s="873" t="s">
        <v>132</v>
      </c>
      <c r="B2" s="874"/>
      <c r="C2" s="874"/>
      <c r="D2" s="874"/>
      <c r="E2" s="874"/>
      <c r="F2" s="874"/>
      <c r="G2" s="874"/>
      <c r="H2" s="874"/>
      <c r="I2" s="875"/>
    </row>
    <row r="3" spans="1:9" ht="13.8">
      <c r="A3" s="873" t="s">
        <v>65</v>
      </c>
      <c r="B3" s="874"/>
      <c r="C3" s="874"/>
      <c r="D3" s="874"/>
      <c r="E3" s="874"/>
      <c r="F3" s="874"/>
      <c r="G3" s="874"/>
      <c r="H3" s="874"/>
      <c r="I3" s="875"/>
    </row>
    <row r="4" spans="1:9" ht="15.6">
      <c r="A4" s="876"/>
      <c r="B4" s="877"/>
      <c r="C4" s="877"/>
      <c r="D4" s="877"/>
      <c r="E4" s="877"/>
      <c r="F4" s="877"/>
      <c r="G4" s="877"/>
      <c r="H4" s="877"/>
      <c r="I4" s="878"/>
    </row>
    <row r="5" spans="1:9" ht="13.8">
      <c r="A5" s="879" t="s">
        <v>133</v>
      </c>
      <c r="B5" s="880"/>
      <c r="C5" s="880"/>
      <c r="D5" s="880"/>
      <c r="E5" s="880"/>
      <c r="F5" s="880"/>
      <c r="G5" s="880"/>
      <c r="H5" s="880"/>
      <c r="I5" s="881"/>
    </row>
    <row r="6" spans="1:9" ht="13.8">
      <c r="A6" s="882" t="s">
        <v>134</v>
      </c>
      <c r="B6" s="883"/>
      <c r="C6" s="883"/>
      <c r="D6" s="883"/>
      <c r="E6" s="883"/>
      <c r="F6" s="883"/>
      <c r="G6" s="883"/>
      <c r="H6" s="883"/>
      <c r="I6" s="884"/>
    </row>
    <row r="7" spans="1:9" ht="13.8">
      <c r="A7" s="832" t="s">
        <v>135</v>
      </c>
      <c r="B7" s="833"/>
      <c r="C7" s="833"/>
      <c r="D7" s="833"/>
      <c r="E7" s="833"/>
      <c r="F7" s="833"/>
      <c r="G7" s="833"/>
      <c r="H7" s="833"/>
      <c r="I7" s="834"/>
    </row>
    <row r="8" spans="1:9" ht="14.4">
      <c r="A8" s="863" t="s">
        <v>136</v>
      </c>
      <c r="B8" s="863"/>
      <c r="C8" s="916" t="str">
        <f>IT!B9</f>
        <v>ROGER E. AMOLATO</v>
      </c>
      <c r="D8" s="916"/>
      <c r="E8" s="916"/>
      <c r="F8" s="916"/>
      <c r="G8" s="169" t="s">
        <v>137</v>
      </c>
      <c r="H8" s="859"/>
      <c r="I8" s="859"/>
    </row>
    <row r="9" spans="1:9" ht="13.8">
      <c r="A9" s="170" t="s">
        <v>64</v>
      </c>
      <c r="B9" s="865" t="s">
        <v>1</v>
      </c>
      <c r="C9" s="865"/>
      <c r="D9" s="865"/>
      <c r="E9" s="865"/>
      <c r="F9" s="865"/>
      <c r="G9" s="865"/>
      <c r="H9" s="865"/>
      <c r="I9" s="865"/>
    </row>
    <row r="10" spans="1:9" ht="13.8">
      <c r="A10" s="170" t="s">
        <v>138</v>
      </c>
      <c r="B10" s="865" t="s">
        <v>139</v>
      </c>
      <c r="C10" s="865"/>
      <c r="D10" s="865"/>
      <c r="E10" s="865"/>
      <c r="F10" s="865"/>
      <c r="G10" s="865"/>
      <c r="H10" s="865"/>
      <c r="I10" s="865"/>
    </row>
    <row r="11" spans="1:9" ht="13.8">
      <c r="A11" s="866" t="s">
        <v>19</v>
      </c>
      <c r="B11" s="867"/>
      <c r="C11" s="867"/>
      <c r="D11" s="867"/>
      <c r="E11" s="867"/>
      <c r="F11" s="867"/>
      <c r="G11" s="862"/>
      <c r="H11" s="866" t="s">
        <v>140</v>
      </c>
      <c r="I11" s="862"/>
    </row>
    <row r="12" spans="1:9" ht="13.8">
      <c r="A12" s="207" t="s">
        <v>234</v>
      </c>
      <c r="B12" s="173"/>
      <c r="C12" s="173"/>
      <c r="D12" s="173"/>
      <c r="E12" s="173"/>
      <c r="F12" s="173"/>
      <c r="G12" s="208"/>
      <c r="H12" s="868">
        <v>80</v>
      </c>
      <c r="I12" s="869"/>
    </row>
    <row r="13" spans="1:9" ht="13.8">
      <c r="A13" s="207" t="s">
        <v>247</v>
      </c>
      <c r="B13" s="173"/>
      <c r="C13" s="173"/>
      <c r="D13" s="173"/>
      <c r="E13" s="173"/>
      <c r="F13" s="173"/>
      <c r="G13" s="208"/>
      <c r="H13" s="868">
        <v>35</v>
      </c>
      <c r="I13" s="869"/>
    </row>
    <row r="14" spans="1:9" ht="13.8">
      <c r="A14" s="207" t="s">
        <v>248</v>
      </c>
      <c r="B14" s="173"/>
      <c r="C14" s="173"/>
      <c r="D14" s="173"/>
      <c r="E14" s="173"/>
      <c r="F14" s="173"/>
      <c r="G14" s="208"/>
      <c r="H14" s="868">
        <v>30</v>
      </c>
      <c r="I14" s="869"/>
    </row>
    <row r="15" spans="1:9" ht="13.8">
      <c r="A15" s="870"/>
      <c r="B15" s="871"/>
      <c r="C15" s="871"/>
      <c r="D15" s="871"/>
      <c r="E15" s="871"/>
      <c r="F15" s="871"/>
      <c r="G15" s="872"/>
      <c r="H15" s="868"/>
      <c r="I15" s="869"/>
    </row>
    <row r="16" spans="1:9" ht="13.8">
      <c r="A16" s="860" t="s">
        <v>125</v>
      </c>
      <c r="B16" s="860"/>
      <c r="C16" s="860"/>
      <c r="D16" s="860"/>
      <c r="E16" s="860"/>
      <c r="F16" s="860"/>
      <c r="G16" s="860"/>
      <c r="H16" s="861">
        <f>SUM(H12:H15)</f>
        <v>145</v>
      </c>
      <c r="I16" s="862"/>
    </row>
    <row r="17" spans="1:9" ht="13.8">
      <c r="A17" s="843" t="s">
        <v>141</v>
      </c>
      <c r="B17" s="844"/>
      <c r="C17" s="844"/>
      <c r="D17" s="844"/>
      <c r="E17" s="844"/>
      <c r="F17" s="844"/>
      <c r="G17" s="844"/>
      <c r="H17" s="844"/>
      <c r="I17" s="845"/>
    </row>
    <row r="18" spans="1:9" ht="39" customHeight="1">
      <c r="A18" s="917" t="s">
        <v>233</v>
      </c>
      <c r="B18" s="918"/>
      <c r="C18" s="918"/>
      <c r="D18" s="918"/>
      <c r="E18" s="918"/>
      <c r="F18" s="918"/>
      <c r="G18" s="918"/>
      <c r="H18" s="918"/>
      <c r="I18" s="919"/>
    </row>
    <row r="19" spans="1:9">
      <c r="A19" s="920" t="s">
        <v>142</v>
      </c>
      <c r="B19" s="921"/>
      <c r="C19" s="921"/>
      <c r="D19" s="921"/>
      <c r="E19" s="921"/>
      <c r="F19" s="921"/>
      <c r="G19" s="921"/>
      <c r="H19" s="921"/>
      <c r="I19" s="922"/>
    </row>
    <row r="20" spans="1:9">
      <c r="A20" s="923"/>
      <c r="B20" s="924"/>
      <c r="C20" s="924"/>
      <c r="D20" s="924"/>
      <c r="E20" s="924"/>
      <c r="F20" s="924"/>
      <c r="G20" s="924"/>
      <c r="H20" s="924"/>
      <c r="I20" s="925"/>
    </row>
    <row r="21" spans="1:9" ht="24" customHeight="1">
      <c r="A21" s="926"/>
      <c r="B21" s="927"/>
      <c r="C21" s="927"/>
      <c r="D21" s="927"/>
      <c r="E21" s="927"/>
      <c r="F21" s="927"/>
      <c r="G21" s="927"/>
      <c r="H21" s="927"/>
      <c r="I21" s="928"/>
    </row>
    <row r="22" spans="1:9" ht="13.8">
      <c r="A22" s="859"/>
      <c r="B22" s="859"/>
      <c r="C22" s="859"/>
      <c r="D22" s="838" t="s">
        <v>143</v>
      </c>
      <c r="E22" s="838"/>
      <c r="F22" s="838"/>
      <c r="G22" s="838" t="s">
        <v>144</v>
      </c>
      <c r="H22" s="838"/>
      <c r="I22" s="838"/>
    </row>
    <row r="23" spans="1:9" ht="23.25" customHeight="1">
      <c r="A23" s="838" t="s">
        <v>145</v>
      </c>
      <c r="B23" s="838"/>
      <c r="C23" s="838"/>
      <c r="D23" s="839"/>
      <c r="E23" s="840"/>
      <c r="F23" s="841"/>
      <c r="G23" s="842"/>
      <c r="H23" s="840"/>
      <c r="I23" s="841"/>
    </row>
    <row r="24" spans="1:9" ht="16.5" customHeight="1">
      <c r="A24" s="885" t="s">
        <v>82</v>
      </c>
      <c r="B24" s="886"/>
      <c r="C24" s="887"/>
      <c r="D24" s="849" t="str">
        <f>C8</f>
        <v>ROGER E. AMOLATO</v>
      </c>
      <c r="E24" s="850"/>
      <c r="F24" s="851"/>
      <c r="G24" s="849" t="str">
        <f>IT!A44</f>
        <v>MARK JUBEN M. PILAPIL</v>
      </c>
      <c r="H24" s="850"/>
      <c r="I24" s="851"/>
    </row>
    <row r="25" spans="1:9" ht="7.5" customHeight="1">
      <c r="A25" s="888"/>
      <c r="B25" s="889"/>
      <c r="C25" s="890"/>
      <c r="D25" s="852"/>
      <c r="E25" s="853"/>
      <c r="F25" s="854"/>
      <c r="G25" s="852"/>
      <c r="H25" s="853"/>
      <c r="I25" s="854"/>
    </row>
    <row r="26" spans="1:9" ht="13.8">
      <c r="A26" s="829"/>
      <c r="B26" s="830"/>
      <c r="C26" s="831"/>
      <c r="D26" s="835" t="str">
        <f>Source!A2</f>
        <v>Instructor I - Temporary</v>
      </c>
      <c r="E26" s="835"/>
      <c r="F26" s="835"/>
      <c r="G26" s="835" t="s">
        <v>130</v>
      </c>
      <c r="H26" s="835"/>
      <c r="I26" s="835"/>
    </row>
    <row r="27" spans="1:9" ht="13.8">
      <c r="A27" s="832"/>
      <c r="B27" s="833"/>
      <c r="C27" s="834"/>
      <c r="D27" s="171" t="s">
        <v>50</v>
      </c>
      <c r="E27" s="836"/>
      <c r="F27" s="837"/>
      <c r="G27" s="171" t="s">
        <v>50</v>
      </c>
      <c r="H27" s="836"/>
      <c r="I27" s="837"/>
    </row>
    <row r="28" spans="1:9" ht="13.8">
      <c r="A28" s="172"/>
      <c r="B28" s="172"/>
      <c r="C28" s="172"/>
      <c r="D28" s="173"/>
      <c r="E28" s="174"/>
      <c r="F28" s="174"/>
      <c r="G28" s="173"/>
      <c r="H28" s="174"/>
      <c r="I28" s="174"/>
    </row>
    <row r="29" spans="1:9" ht="13.8">
      <c r="A29" s="829" t="s">
        <v>131</v>
      </c>
      <c r="B29" s="830"/>
      <c r="C29" s="830"/>
      <c r="D29" s="830"/>
      <c r="E29" s="830"/>
      <c r="F29" s="830"/>
      <c r="G29" s="830"/>
      <c r="H29" s="830"/>
      <c r="I29" s="831"/>
    </row>
    <row r="30" spans="1:9" ht="13.8">
      <c r="A30" s="873" t="s">
        <v>132</v>
      </c>
      <c r="B30" s="874"/>
      <c r="C30" s="874"/>
      <c r="D30" s="874"/>
      <c r="E30" s="874"/>
      <c r="F30" s="874"/>
      <c r="G30" s="874"/>
      <c r="H30" s="874"/>
      <c r="I30" s="875"/>
    </row>
    <row r="31" spans="1:9" ht="13.8">
      <c r="A31" s="873" t="s">
        <v>65</v>
      </c>
      <c r="B31" s="874"/>
      <c r="C31" s="874"/>
      <c r="D31" s="874"/>
      <c r="E31" s="874"/>
      <c r="F31" s="874"/>
      <c r="G31" s="874"/>
      <c r="H31" s="874"/>
      <c r="I31" s="875"/>
    </row>
    <row r="32" spans="1:9" ht="15.6">
      <c r="A32" s="876"/>
      <c r="B32" s="877"/>
      <c r="C32" s="877"/>
      <c r="D32" s="877"/>
      <c r="E32" s="877"/>
      <c r="F32" s="877"/>
      <c r="G32" s="877"/>
      <c r="H32" s="877"/>
      <c r="I32" s="878"/>
    </row>
    <row r="33" spans="1:9" ht="13.8">
      <c r="A33" s="879" t="s">
        <v>133</v>
      </c>
      <c r="B33" s="880"/>
      <c r="C33" s="880"/>
      <c r="D33" s="880"/>
      <c r="E33" s="880"/>
      <c r="F33" s="880"/>
      <c r="G33" s="880"/>
      <c r="H33" s="880"/>
      <c r="I33" s="881"/>
    </row>
    <row r="34" spans="1:9" ht="13.8">
      <c r="A34" s="882" t="s">
        <v>134</v>
      </c>
      <c r="B34" s="883"/>
      <c r="C34" s="883"/>
      <c r="D34" s="883"/>
      <c r="E34" s="883"/>
      <c r="F34" s="883"/>
      <c r="G34" s="883"/>
      <c r="H34" s="883"/>
      <c r="I34" s="884"/>
    </row>
    <row r="35" spans="1:9" ht="13.8">
      <c r="A35" s="832" t="s">
        <v>135</v>
      </c>
      <c r="B35" s="833"/>
      <c r="C35" s="833"/>
      <c r="D35" s="833"/>
      <c r="E35" s="833"/>
      <c r="F35" s="833"/>
      <c r="G35" s="833"/>
      <c r="H35" s="833"/>
      <c r="I35" s="834"/>
    </row>
    <row r="36" spans="1:9" ht="14.4">
      <c r="A36" s="863" t="s">
        <v>136</v>
      </c>
      <c r="B36" s="863"/>
      <c r="C36" s="916" t="str">
        <f>C8</f>
        <v>ROGER E. AMOLATO</v>
      </c>
      <c r="D36" s="916"/>
      <c r="E36" s="916"/>
      <c r="F36" s="916"/>
      <c r="G36" s="169" t="s">
        <v>137</v>
      </c>
      <c r="H36" s="859"/>
      <c r="I36" s="859"/>
    </row>
    <row r="37" spans="1:9" ht="13.8">
      <c r="A37" s="170" t="s">
        <v>64</v>
      </c>
      <c r="B37" s="865" t="s">
        <v>1</v>
      </c>
      <c r="C37" s="865"/>
      <c r="D37" s="865"/>
      <c r="E37" s="865"/>
      <c r="F37" s="865"/>
      <c r="G37" s="865"/>
      <c r="H37" s="865"/>
      <c r="I37" s="865"/>
    </row>
    <row r="38" spans="1:9" ht="13.8">
      <c r="A38" s="170" t="s">
        <v>138</v>
      </c>
      <c r="B38" s="865" t="s">
        <v>139</v>
      </c>
      <c r="C38" s="865"/>
      <c r="D38" s="865"/>
      <c r="E38" s="865"/>
      <c r="F38" s="865"/>
      <c r="G38" s="865"/>
      <c r="H38" s="865"/>
      <c r="I38" s="865"/>
    </row>
    <row r="39" spans="1:9" ht="13.8">
      <c r="A39" s="866" t="s">
        <v>19</v>
      </c>
      <c r="B39" s="867"/>
      <c r="C39" s="867"/>
      <c r="D39" s="867"/>
      <c r="E39" s="867"/>
      <c r="F39" s="867"/>
      <c r="G39" s="862"/>
      <c r="H39" s="866" t="s">
        <v>140</v>
      </c>
      <c r="I39" s="862"/>
    </row>
    <row r="40" spans="1:9" ht="13.8">
      <c r="A40" s="207" t="s">
        <v>234</v>
      </c>
      <c r="B40" s="173"/>
      <c r="C40" s="173"/>
      <c r="D40" s="173"/>
      <c r="E40" s="173"/>
      <c r="F40" s="173"/>
      <c r="G40" s="208"/>
      <c r="H40" s="868">
        <v>80</v>
      </c>
      <c r="I40" s="869"/>
    </row>
    <row r="41" spans="1:9" ht="13.8">
      <c r="A41" s="207" t="s">
        <v>247</v>
      </c>
      <c r="B41" s="173"/>
      <c r="C41" s="173"/>
      <c r="D41" s="173"/>
      <c r="E41" s="173"/>
      <c r="F41" s="173"/>
      <c r="G41" s="208"/>
      <c r="H41" s="868">
        <v>35</v>
      </c>
      <c r="I41" s="869"/>
    </row>
    <row r="42" spans="1:9" ht="13.8">
      <c r="A42" s="207" t="s">
        <v>248</v>
      </c>
      <c r="B42" s="173"/>
      <c r="C42" s="173"/>
      <c r="D42" s="173"/>
      <c r="E42" s="173"/>
      <c r="F42" s="173"/>
      <c r="G42" s="208"/>
      <c r="H42" s="868">
        <v>30</v>
      </c>
      <c r="I42" s="869"/>
    </row>
    <row r="43" spans="1:9" ht="13.8">
      <c r="A43" s="870"/>
      <c r="B43" s="871"/>
      <c r="C43" s="871"/>
      <c r="D43" s="871"/>
      <c r="E43" s="871"/>
      <c r="F43" s="871"/>
      <c r="G43" s="872"/>
      <c r="H43" s="868"/>
      <c r="I43" s="869"/>
    </row>
    <row r="44" spans="1:9" ht="13.8">
      <c r="A44" s="860" t="s">
        <v>125</v>
      </c>
      <c r="B44" s="860"/>
      <c r="C44" s="860"/>
      <c r="D44" s="860"/>
      <c r="E44" s="860"/>
      <c r="F44" s="860"/>
      <c r="G44" s="860"/>
      <c r="H44" s="861">
        <f>SUM(H40:H43)</f>
        <v>145</v>
      </c>
      <c r="I44" s="862"/>
    </row>
    <row r="45" spans="1:9" ht="13.8">
      <c r="A45" s="843" t="s">
        <v>141</v>
      </c>
      <c r="B45" s="844"/>
      <c r="C45" s="844"/>
      <c r="D45" s="844"/>
      <c r="E45" s="844"/>
      <c r="F45" s="844"/>
      <c r="G45" s="844"/>
      <c r="H45" s="844"/>
      <c r="I45" s="845"/>
    </row>
    <row r="46" spans="1:9" ht="38.25" customHeight="1">
      <c r="A46" s="912" t="str">
        <f>A18</f>
        <v>Attended the three (3) days Face-to-face seminar on the 2nd National Sustainability Summits last July 19-21, 2023 at CTU Danao Campus, Cebu City Philippines</v>
      </c>
      <c r="B46" s="913"/>
      <c r="C46" s="913"/>
      <c r="D46" s="913"/>
      <c r="E46" s="913"/>
      <c r="F46" s="913"/>
      <c r="G46" s="913"/>
      <c r="H46" s="913"/>
      <c r="I46" s="914"/>
    </row>
    <row r="47" spans="1:9">
      <c r="A47" s="915" t="s">
        <v>142</v>
      </c>
      <c r="B47" s="915"/>
      <c r="C47" s="915"/>
      <c r="D47" s="915"/>
      <c r="E47" s="915"/>
      <c r="F47" s="915"/>
      <c r="G47" s="915"/>
      <c r="H47" s="915"/>
      <c r="I47" s="915"/>
    </row>
    <row r="48" spans="1:9">
      <c r="A48" s="915"/>
      <c r="B48" s="915"/>
      <c r="C48" s="915"/>
      <c r="D48" s="915"/>
      <c r="E48" s="915"/>
      <c r="F48" s="915"/>
      <c r="G48" s="915"/>
      <c r="H48" s="915"/>
      <c r="I48" s="915"/>
    </row>
    <row r="49" spans="1:9" ht="24" customHeight="1">
      <c r="A49" s="915"/>
      <c r="B49" s="915"/>
      <c r="C49" s="915"/>
      <c r="D49" s="915"/>
      <c r="E49" s="915"/>
      <c r="F49" s="915"/>
      <c r="G49" s="915"/>
      <c r="H49" s="915"/>
      <c r="I49" s="915"/>
    </row>
    <row r="50" spans="1:9" ht="13.8">
      <c r="A50" s="859"/>
      <c r="B50" s="859"/>
      <c r="C50" s="859"/>
      <c r="D50" s="838" t="s">
        <v>143</v>
      </c>
      <c r="E50" s="838"/>
      <c r="F50" s="838"/>
      <c r="G50" s="838" t="s">
        <v>144</v>
      </c>
      <c r="H50" s="838"/>
      <c r="I50" s="838"/>
    </row>
    <row r="51" spans="1:9" ht="18" customHeight="1">
      <c r="A51" s="838" t="s">
        <v>145</v>
      </c>
      <c r="B51" s="838"/>
      <c r="C51" s="838"/>
      <c r="D51" s="839"/>
      <c r="E51" s="840"/>
      <c r="F51" s="841"/>
      <c r="G51" s="842"/>
      <c r="H51" s="840"/>
      <c r="I51" s="841"/>
    </row>
    <row r="52" spans="1:9" ht="16.5" customHeight="1">
      <c r="A52" s="843" t="s">
        <v>82</v>
      </c>
      <c r="B52" s="844"/>
      <c r="C52" s="845"/>
      <c r="D52" s="849" t="str">
        <f>C36</f>
        <v>ROGER E. AMOLATO</v>
      </c>
      <c r="E52" s="850"/>
      <c r="F52" s="851"/>
      <c r="G52" s="849" t="str">
        <f>G24</f>
        <v>MARK JUBEN M. PILAPIL</v>
      </c>
      <c r="H52" s="850"/>
      <c r="I52" s="851"/>
    </row>
    <row r="53" spans="1:9" ht="5.25" customHeight="1">
      <c r="A53" s="846"/>
      <c r="B53" s="847"/>
      <c r="C53" s="848"/>
      <c r="D53" s="852"/>
      <c r="E53" s="853"/>
      <c r="F53" s="854"/>
      <c r="G53" s="852"/>
      <c r="H53" s="853"/>
      <c r="I53" s="854"/>
    </row>
    <row r="54" spans="1:9" ht="13.8">
      <c r="A54" s="829"/>
      <c r="B54" s="830"/>
      <c r="C54" s="831"/>
      <c r="D54" s="835" t="str">
        <f>D26</f>
        <v>Instructor I - Temporary</v>
      </c>
      <c r="E54" s="835"/>
      <c r="F54" s="835"/>
      <c r="G54" s="835" t="s">
        <v>130</v>
      </c>
      <c r="H54" s="835"/>
      <c r="I54" s="835"/>
    </row>
    <row r="55" spans="1:9" ht="13.8">
      <c r="A55" s="832"/>
      <c r="B55" s="833"/>
      <c r="C55" s="834"/>
      <c r="D55" s="171" t="s">
        <v>50</v>
      </c>
      <c r="E55" s="836"/>
      <c r="F55" s="837"/>
      <c r="G55" s="171" t="s">
        <v>50</v>
      </c>
      <c r="H55" s="836"/>
      <c r="I55" s="837"/>
    </row>
  </sheetData>
  <mergeCells count="76">
    <mergeCell ref="A54:C55"/>
    <mergeCell ref="D54:F54"/>
    <mergeCell ref="G54:I54"/>
    <mergeCell ref="E55:F55"/>
    <mergeCell ref="H55:I55"/>
    <mergeCell ref="A51:C51"/>
    <mergeCell ref="D51:F51"/>
    <mergeCell ref="G51:I51"/>
    <mergeCell ref="A52:C53"/>
    <mergeCell ref="D52:F53"/>
    <mergeCell ref="G52:I53"/>
    <mergeCell ref="A45:I45"/>
    <mergeCell ref="A46:I46"/>
    <mergeCell ref="A47:I49"/>
    <mergeCell ref="A50:C50"/>
    <mergeCell ref="D50:F50"/>
    <mergeCell ref="G50:I50"/>
    <mergeCell ref="A44:G44"/>
    <mergeCell ref="H44:I44"/>
    <mergeCell ref="A36:B36"/>
    <mergeCell ref="C36:F36"/>
    <mergeCell ref="H36:I36"/>
    <mergeCell ref="B37:I37"/>
    <mergeCell ref="B38:I38"/>
    <mergeCell ref="A39:G39"/>
    <mergeCell ref="H39:I39"/>
    <mergeCell ref="H40:I40"/>
    <mergeCell ref="H41:I41"/>
    <mergeCell ref="H42:I42"/>
    <mergeCell ref="A43:G43"/>
    <mergeCell ref="H43:I43"/>
    <mergeCell ref="A35:I35"/>
    <mergeCell ref="A26:C27"/>
    <mergeCell ref="D26:F26"/>
    <mergeCell ref="G26:I26"/>
    <mergeCell ref="E27:F27"/>
    <mergeCell ref="H27:I27"/>
    <mergeCell ref="A29:I29"/>
    <mergeCell ref="A30:I30"/>
    <mergeCell ref="A31:I31"/>
    <mergeCell ref="A32:I32"/>
    <mergeCell ref="A33:I33"/>
    <mergeCell ref="A34:I34"/>
    <mergeCell ref="A23:C23"/>
    <mergeCell ref="D23:F23"/>
    <mergeCell ref="G23:I23"/>
    <mergeCell ref="A24:C25"/>
    <mergeCell ref="D24:F25"/>
    <mergeCell ref="G24:I25"/>
    <mergeCell ref="A22:C22"/>
    <mergeCell ref="D22:F22"/>
    <mergeCell ref="G22:I22"/>
    <mergeCell ref="A11:G11"/>
    <mergeCell ref="H11:I11"/>
    <mergeCell ref="H12:I12"/>
    <mergeCell ref="H13:I13"/>
    <mergeCell ref="H14:I14"/>
    <mergeCell ref="A15:G15"/>
    <mergeCell ref="H15:I15"/>
    <mergeCell ref="A16:G16"/>
    <mergeCell ref="H16:I16"/>
    <mergeCell ref="A17:I17"/>
    <mergeCell ref="A18:I18"/>
    <mergeCell ref="A19:I21"/>
    <mergeCell ref="B10:I10"/>
    <mergeCell ref="A1:I1"/>
    <mergeCell ref="A2:I2"/>
    <mergeCell ref="A3:I3"/>
    <mergeCell ref="A4:I4"/>
    <mergeCell ref="A5:I5"/>
    <mergeCell ref="A6:I6"/>
    <mergeCell ref="A7:I7"/>
    <mergeCell ref="A8:B8"/>
    <mergeCell ref="C8:F8"/>
    <mergeCell ref="H8:I8"/>
    <mergeCell ref="B9:I9"/>
  </mergeCells>
  <pageMargins left="1.19" right="0.7" top="0.47" bottom="0.75" header="0.3" footer="0.3"/>
  <pageSetup paperSize="9" scale="93" orientation="portrait" horizontalDpi="360"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62"/>
  <sheetViews>
    <sheetView zoomScale="69" zoomScaleNormal="55" zoomScaleSheetLayoutView="70" zoomScalePageLayoutView="81" workbookViewId="0">
      <selection activeCell="I12" sqref="I12:K13"/>
    </sheetView>
  </sheetViews>
  <sheetFormatPr defaultColWidth="9.109375" defaultRowHeight="13.2"/>
  <cols>
    <col min="1" max="1" width="7.44140625" style="73" customWidth="1"/>
    <col min="2" max="2" width="5.109375" style="73" customWidth="1"/>
    <col min="3" max="3" width="1.33203125" style="73" customWidth="1"/>
    <col min="4" max="4" width="8" style="73" customWidth="1"/>
    <col min="5" max="5" width="6.5546875" style="73" customWidth="1"/>
    <col min="6" max="6" width="8" style="73" customWidth="1"/>
    <col min="7" max="7" width="2" style="73" customWidth="1"/>
    <col min="8" max="8" width="19.6640625" style="73" customWidth="1"/>
    <col min="9" max="9" width="7.33203125" style="73" customWidth="1"/>
    <col min="10" max="10" width="3.88671875" style="73" customWidth="1"/>
    <col min="11" max="11" width="13.44140625" style="73" customWidth="1"/>
    <col min="12" max="12" width="12" style="73" customWidth="1"/>
    <col min="13" max="13" width="12.5546875" style="73" customWidth="1"/>
    <col min="14" max="16384" width="9.109375" style="73"/>
  </cols>
  <sheetData>
    <row r="1" spans="1:13" ht="19.5" customHeight="1">
      <c r="A1" s="72"/>
      <c r="B1" s="72"/>
      <c r="C1" s="72"/>
      <c r="D1" s="72"/>
      <c r="E1" s="72"/>
      <c r="F1" s="72"/>
      <c r="G1" s="72"/>
      <c r="H1" s="72"/>
      <c r="I1" s="72"/>
      <c r="J1" s="72"/>
      <c r="K1" s="72"/>
      <c r="L1" s="952" t="s">
        <v>59</v>
      </c>
      <c r="M1" s="952"/>
    </row>
    <row r="2" spans="1:13" ht="15.75" customHeight="1" thickBot="1">
      <c r="A2" s="72"/>
      <c r="B2" s="72"/>
      <c r="C2" s="72"/>
      <c r="D2" s="72"/>
      <c r="E2" s="72"/>
      <c r="F2" s="72"/>
      <c r="G2" s="72"/>
      <c r="H2" s="72"/>
      <c r="I2" s="72"/>
      <c r="J2" s="72"/>
      <c r="K2" s="72"/>
      <c r="L2" s="953"/>
      <c r="M2" s="953"/>
    </row>
    <row r="3" spans="1:13" ht="25.5" customHeight="1">
      <c r="A3" s="954" t="s">
        <v>60</v>
      </c>
      <c r="B3" s="955"/>
      <c r="C3" s="955"/>
      <c r="D3" s="955"/>
      <c r="E3" s="955"/>
      <c r="F3" s="955"/>
      <c r="G3" s="955"/>
      <c r="H3" s="955"/>
      <c r="I3" s="955"/>
      <c r="J3" s="956"/>
      <c r="K3" s="957" t="s">
        <v>61</v>
      </c>
      <c r="L3" s="958"/>
      <c r="M3" s="959"/>
    </row>
    <row r="4" spans="1:13" ht="25.5" customHeight="1">
      <c r="A4" s="960" t="s">
        <v>1</v>
      </c>
      <c r="B4" s="961"/>
      <c r="C4" s="961"/>
      <c r="D4" s="961"/>
      <c r="E4" s="961"/>
      <c r="F4" s="961"/>
      <c r="G4" s="961"/>
      <c r="H4" s="961"/>
      <c r="I4" s="961"/>
      <c r="J4" s="962"/>
      <c r="K4" s="963" t="s">
        <v>62</v>
      </c>
      <c r="L4" s="964"/>
      <c r="M4" s="965"/>
    </row>
    <row r="5" spans="1:13" ht="25.5" customHeight="1" thickBot="1">
      <c r="A5" s="929" t="s">
        <v>3</v>
      </c>
      <c r="B5" s="930"/>
      <c r="C5" s="930"/>
      <c r="D5" s="930"/>
      <c r="E5" s="930"/>
      <c r="F5" s="930"/>
      <c r="G5" s="930"/>
      <c r="H5" s="930"/>
      <c r="I5" s="930"/>
      <c r="J5" s="931"/>
      <c r="K5" s="932" t="s">
        <v>63</v>
      </c>
      <c r="L5" s="933"/>
      <c r="M5" s="934"/>
    </row>
    <row r="6" spans="1:13" ht="12.75" customHeight="1">
      <c r="A6" s="935" t="s">
        <v>14</v>
      </c>
      <c r="B6" s="798"/>
      <c r="C6" s="799"/>
      <c r="D6" s="937" t="str">
        <f>'DV (2)'!E11</f>
        <v>ROGER E. AMOLATO</v>
      </c>
      <c r="E6" s="938"/>
      <c r="F6" s="938"/>
      <c r="G6" s="938"/>
      <c r="H6" s="938"/>
      <c r="I6" s="938"/>
      <c r="J6" s="938"/>
      <c r="K6" s="938"/>
      <c r="L6" s="938"/>
      <c r="M6" s="939"/>
    </row>
    <row r="7" spans="1:13" ht="12.75" customHeight="1">
      <c r="A7" s="936"/>
      <c r="B7" s="804"/>
      <c r="C7" s="805"/>
      <c r="D7" s="940"/>
      <c r="E7" s="941"/>
      <c r="F7" s="941"/>
      <c r="G7" s="941"/>
      <c r="H7" s="941"/>
      <c r="I7" s="941"/>
      <c r="J7" s="941"/>
      <c r="K7" s="941"/>
      <c r="L7" s="941"/>
      <c r="M7" s="942"/>
    </row>
    <row r="8" spans="1:13" ht="12.75" customHeight="1">
      <c r="A8" s="943" t="s">
        <v>64</v>
      </c>
      <c r="B8" s="944"/>
      <c r="C8" s="945"/>
      <c r="D8" s="946" t="s">
        <v>18</v>
      </c>
      <c r="E8" s="947"/>
      <c r="F8" s="947"/>
      <c r="G8" s="947"/>
      <c r="H8" s="947"/>
      <c r="I8" s="947"/>
      <c r="J8" s="947"/>
      <c r="K8" s="947"/>
      <c r="L8" s="947"/>
      <c r="M8" s="948"/>
    </row>
    <row r="9" spans="1:13" ht="12.75" customHeight="1">
      <c r="A9" s="936"/>
      <c r="B9" s="804"/>
      <c r="C9" s="805"/>
      <c r="D9" s="949"/>
      <c r="E9" s="950"/>
      <c r="F9" s="950"/>
      <c r="G9" s="950"/>
      <c r="H9" s="950"/>
      <c r="I9" s="950"/>
      <c r="J9" s="950"/>
      <c r="K9" s="950"/>
      <c r="L9" s="950"/>
      <c r="M9" s="951"/>
    </row>
    <row r="10" spans="1:13" ht="12.75" customHeight="1">
      <c r="A10" s="943" t="s">
        <v>17</v>
      </c>
      <c r="B10" s="944"/>
      <c r="C10" s="945"/>
      <c r="D10" s="980" t="s">
        <v>65</v>
      </c>
      <c r="E10" s="981"/>
      <c r="F10" s="981"/>
      <c r="G10" s="981"/>
      <c r="H10" s="981"/>
      <c r="I10" s="981"/>
      <c r="J10" s="981"/>
      <c r="K10" s="981"/>
      <c r="L10" s="981"/>
      <c r="M10" s="982"/>
    </row>
    <row r="11" spans="1:13" ht="13.5" customHeight="1" thickBot="1">
      <c r="A11" s="978"/>
      <c r="B11" s="909"/>
      <c r="C11" s="979"/>
      <c r="D11" s="983"/>
      <c r="E11" s="984"/>
      <c r="F11" s="984"/>
      <c r="G11" s="984"/>
      <c r="H11" s="984"/>
      <c r="I11" s="984"/>
      <c r="J11" s="984"/>
      <c r="K11" s="984"/>
      <c r="L11" s="984"/>
      <c r="M11" s="985"/>
    </row>
    <row r="12" spans="1:13" ht="12.75" customHeight="1">
      <c r="A12" s="935" t="s">
        <v>20</v>
      </c>
      <c r="B12" s="798"/>
      <c r="C12" s="799"/>
      <c r="D12" s="797" t="s">
        <v>19</v>
      </c>
      <c r="E12" s="986"/>
      <c r="F12" s="986"/>
      <c r="G12" s="986"/>
      <c r="H12" s="987"/>
      <c r="I12" s="715" t="s">
        <v>21</v>
      </c>
      <c r="J12" s="716"/>
      <c r="K12" s="719" t="s">
        <v>66</v>
      </c>
      <c r="L12" s="797" t="s">
        <v>22</v>
      </c>
      <c r="M12" s="991"/>
    </row>
    <row r="13" spans="1:13" ht="18.600000000000001" customHeight="1" thickBot="1">
      <c r="A13" s="978"/>
      <c r="B13" s="909"/>
      <c r="C13" s="979"/>
      <c r="D13" s="988"/>
      <c r="E13" s="989"/>
      <c r="F13" s="989"/>
      <c r="G13" s="989"/>
      <c r="H13" s="990"/>
      <c r="I13" s="717"/>
      <c r="J13" s="718"/>
      <c r="K13" s="720"/>
      <c r="L13" s="908"/>
      <c r="M13" s="910"/>
    </row>
    <row r="14" spans="1:13" ht="12.75" customHeight="1">
      <c r="A14" s="966"/>
      <c r="B14" s="967"/>
      <c r="C14" s="968"/>
      <c r="D14" s="969">
        <v>2021</v>
      </c>
      <c r="E14" s="970"/>
      <c r="F14" s="970"/>
      <c r="G14" s="970"/>
      <c r="H14" s="971"/>
      <c r="I14" s="972"/>
      <c r="J14" s="968"/>
      <c r="K14" s="74"/>
      <c r="L14" s="75"/>
      <c r="M14" s="76"/>
    </row>
    <row r="15" spans="1:13" ht="12.75" customHeight="1">
      <c r="A15" s="966"/>
      <c r="B15" s="967"/>
      <c r="C15" s="968"/>
      <c r="D15" s="973" t="s">
        <v>67</v>
      </c>
      <c r="E15" s="974"/>
      <c r="F15" s="974"/>
      <c r="G15" s="974"/>
      <c r="H15" s="975"/>
      <c r="I15" s="976"/>
      <c r="J15" s="977"/>
      <c r="K15" s="77"/>
      <c r="L15" s="78"/>
      <c r="M15" s="79"/>
    </row>
    <row r="16" spans="1:13" ht="12.75" customHeight="1">
      <c r="A16" s="966"/>
      <c r="B16" s="967"/>
      <c r="C16" s="968"/>
      <c r="D16" s="992" t="s">
        <v>196</v>
      </c>
      <c r="E16" s="993"/>
      <c r="F16" s="993"/>
      <c r="G16" s="993"/>
      <c r="H16" s="994"/>
      <c r="I16" s="976"/>
      <c r="J16" s="977"/>
      <c r="K16" s="77"/>
      <c r="L16" s="80"/>
      <c r="M16" s="79"/>
    </row>
    <row r="17" spans="1:13" ht="12.75" customHeight="1">
      <c r="A17" s="966"/>
      <c r="B17" s="967"/>
      <c r="C17" s="968"/>
      <c r="D17" s="992"/>
      <c r="E17" s="993"/>
      <c r="F17" s="993"/>
      <c r="G17" s="993"/>
      <c r="H17" s="994"/>
      <c r="I17" s="976"/>
      <c r="J17" s="977"/>
      <c r="K17" s="77"/>
      <c r="L17" s="80"/>
      <c r="M17" s="81" t="s">
        <v>68</v>
      </c>
    </row>
    <row r="18" spans="1:13" ht="12.75" customHeight="1">
      <c r="A18" s="966"/>
      <c r="B18" s="967"/>
      <c r="C18" s="968"/>
      <c r="D18" s="992"/>
      <c r="E18" s="993"/>
      <c r="F18" s="993"/>
      <c r="G18" s="993"/>
      <c r="H18" s="994"/>
      <c r="I18" s="976"/>
      <c r="J18" s="977"/>
      <c r="K18" s="77"/>
      <c r="L18" s="82"/>
      <c r="M18" s="83"/>
    </row>
    <row r="19" spans="1:13" ht="12.75" customHeight="1">
      <c r="A19" s="966"/>
      <c r="B19" s="967"/>
      <c r="C19" s="968"/>
      <c r="D19" s="992"/>
      <c r="E19" s="993"/>
      <c r="F19" s="993"/>
      <c r="G19" s="993"/>
      <c r="H19" s="994"/>
      <c r="I19" s="976"/>
      <c r="J19" s="977"/>
      <c r="K19" s="77"/>
      <c r="L19" s="84" t="s">
        <v>69</v>
      </c>
      <c r="M19" s="85">
        <v>600</v>
      </c>
    </row>
    <row r="20" spans="1:13" ht="12.75" customHeight="1">
      <c r="A20" s="966"/>
      <c r="B20" s="967"/>
      <c r="C20" s="968"/>
      <c r="D20" s="992"/>
      <c r="E20" s="993"/>
      <c r="F20" s="993"/>
      <c r="G20" s="993"/>
      <c r="H20" s="994"/>
      <c r="I20" s="976"/>
      <c r="J20" s="977"/>
      <c r="K20" s="77"/>
      <c r="L20" s="80"/>
      <c r="M20" s="81"/>
    </row>
    <row r="21" spans="1:13" ht="12.75" customHeight="1">
      <c r="A21" s="966"/>
      <c r="B21" s="967"/>
      <c r="C21" s="968"/>
      <c r="D21" s="995"/>
      <c r="E21" s="996"/>
      <c r="F21" s="996"/>
      <c r="G21" s="996"/>
      <c r="H21" s="997"/>
      <c r="I21" s="976"/>
      <c r="J21" s="977"/>
      <c r="K21" s="77"/>
      <c r="L21" s="80"/>
      <c r="M21" s="83"/>
    </row>
    <row r="22" spans="1:13" ht="12.75" customHeight="1">
      <c r="A22" s="966"/>
      <c r="B22" s="967"/>
      <c r="C22" s="968"/>
      <c r="D22" s="995"/>
      <c r="E22" s="996"/>
      <c r="F22" s="996"/>
      <c r="G22" s="996"/>
      <c r="H22" s="997"/>
      <c r="I22" s="976"/>
      <c r="J22" s="977"/>
      <c r="K22" s="77"/>
      <c r="L22" s="80"/>
      <c r="M22" s="79"/>
    </row>
    <row r="23" spans="1:13" ht="12.75" customHeight="1">
      <c r="A23" s="966"/>
      <c r="B23" s="967"/>
      <c r="C23" s="968"/>
      <c r="D23" s="995"/>
      <c r="E23" s="996"/>
      <c r="F23" s="996"/>
      <c r="G23" s="996"/>
      <c r="H23" s="997"/>
      <c r="I23" s="976"/>
      <c r="J23" s="977"/>
      <c r="K23" s="77"/>
      <c r="L23" s="80"/>
      <c r="M23" s="79"/>
    </row>
    <row r="24" spans="1:13" ht="12.75" customHeight="1">
      <c r="A24" s="966"/>
      <c r="B24" s="967"/>
      <c r="C24" s="968"/>
      <c r="D24" s="1001"/>
      <c r="E24" s="1002"/>
      <c r="F24" s="1002"/>
      <c r="G24" s="1002"/>
      <c r="H24" s="1003"/>
      <c r="I24" s="976"/>
      <c r="J24" s="977"/>
      <c r="K24" s="77"/>
      <c r="L24" s="80"/>
      <c r="M24" s="79"/>
    </row>
    <row r="25" spans="1:13" ht="12.75" customHeight="1">
      <c r="A25" s="966"/>
      <c r="B25" s="967"/>
      <c r="C25" s="968"/>
      <c r="D25" s="998"/>
      <c r="E25" s="999"/>
      <c r="F25" s="999"/>
      <c r="G25" s="999"/>
      <c r="H25" s="1000"/>
      <c r="I25" s="976"/>
      <c r="J25" s="977"/>
      <c r="K25" s="77"/>
      <c r="L25" s="80"/>
      <c r="M25" s="79"/>
    </row>
    <row r="26" spans="1:13" ht="12.75" customHeight="1">
      <c r="A26" s="966"/>
      <c r="B26" s="967"/>
      <c r="C26" s="968"/>
      <c r="D26" s="998"/>
      <c r="E26" s="999"/>
      <c r="F26" s="999"/>
      <c r="G26" s="999"/>
      <c r="H26" s="1000"/>
      <c r="I26" s="976"/>
      <c r="J26" s="977"/>
      <c r="K26" s="77"/>
      <c r="L26" s="80"/>
      <c r="M26" s="79"/>
    </row>
    <row r="27" spans="1:13" ht="12.75" customHeight="1">
      <c r="A27" s="966"/>
      <c r="B27" s="967"/>
      <c r="C27" s="968"/>
      <c r="D27" s="998"/>
      <c r="E27" s="999"/>
      <c r="F27" s="999"/>
      <c r="G27" s="999"/>
      <c r="H27" s="1000"/>
      <c r="I27" s="976"/>
      <c r="J27" s="977"/>
      <c r="K27" s="77"/>
      <c r="L27" s="80"/>
      <c r="M27" s="79"/>
    </row>
    <row r="28" spans="1:13" ht="12.75" customHeight="1">
      <c r="A28" s="966"/>
      <c r="B28" s="967"/>
      <c r="C28" s="968"/>
      <c r="D28" s="998"/>
      <c r="E28" s="999"/>
      <c r="F28" s="999"/>
      <c r="G28" s="999"/>
      <c r="H28" s="1000"/>
      <c r="I28" s="976"/>
      <c r="J28" s="977"/>
      <c r="K28" s="86"/>
      <c r="L28" s="80"/>
      <c r="M28" s="79"/>
    </row>
    <row r="29" spans="1:13" ht="15.75" customHeight="1">
      <c r="A29" s="966"/>
      <c r="B29" s="967"/>
      <c r="C29" s="968"/>
      <c r="D29" s="998"/>
      <c r="E29" s="999"/>
      <c r="F29" s="999"/>
      <c r="G29" s="999"/>
      <c r="H29" s="1000"/>
      <c r="I29" s="976"/>
      <c r="J29" s="977"/>
      <c r="K29" s="86"/>
      <c r="L29" s="80"/>
      <c r="M29" s="79"/>
    </row>
    <row r="30" spans="1:13" ht="15.75" customHeight="1">
      <c r="A30" s="966"/>
      <c r="B30" s="967"/>
      <c r="C30" s="968"/>
      <c r="D30" s="998"/>
      <c r="E30" s="999"/>
      <c r="F30" s="999"/>
      <c r="G30" s="999"/>
      <c r="H30" s="1000"/>
      <c r="I30" s="976"/>
      <c r="J30" s="977"/>
      <c r="K30" s="86"/>
      <c r="L30" s="80"/>
      <c r="M30" s="79"/>
    </row>
    <row r="31" spans="1:13" ht="13.8">
      <c r="A31" s="966"/>
      <c r="B31" s="967"/>
      <c r="C31" s="968"/>
      <c r="D31" s="998"/>
      <c r="E31" s="999"/>
      <c r="F31" s="999"/>
      <c r="G31" s="999"/>
      <c r="H31" s="1000"/>
      <c r="I31" s="976"/>
      <c r="J31" s="977"/>
      <c r="K31" s="86"/>
      <c r="L31" s="80"/>
      <c r="M31" s="79"/>
    </row>
    <row r="32" spans="1:13" ht="13.8">
      <c r="A32" s="966"/>
      <c r="B32" s="967"/>
      <c r="C32" s="968"/>
      <c r="D32" s="998"/>
      <c r="E32" s="999"/>
      <c r="F32" s="999"/>
      <c r="G32" s="999"/>
      <c r="H32" s="1000"/>
      <c r="I32" s="976"/>
      <c r="J32" s="977"/>
      <c r="K32" s="86"/>
      <c r="L32" s="80"/>
      <c r="M32" s="79"/>
    </row>
    <row r="33" spans="1:13" ht="13.8">
      <c r="A33" s="966"/>
      <c r="B33" s="967"/>
      <c r="C33" s="968"/>
      <c r="D33" s="998"/>
      <c r="E33" s="999"/>
      <c r="F33" s="999"/>
      <c r="G33" s="999"/>
      <c r="H33" s="1000"/>
      <c r="I33" s="976"/>
      <c r="J33" s="977"/>
      <c r="K33" s="86"/>
      <c r="L33" s="80"/>
      <c r="M33" s="79"/>
    </row>
    <row r="34" spans="1:13" ht="16.5" customHeight="1" thickBot="1">
      <c r="A34" s="1004"/>
      <c r="B34" s="1005"/>
      <c r="C34" s="1006"/>
      <c r="D34" s="1007" t="s">
        <v>70</v>
      </c>
      <c r="E34" s="1008"/>
      <c r="F34" s="1008"/>
      <c r="G34" s="1008"/>
      <c r="H34" s="1009"/>
      <c r="I34" s="1010"/>
      <c r="J34" s="1011"/>
      <c r="K34" s="87"/>
      <c r="L34" s="88" t="s">
        <v>71</v>
      </c>
      <c r="M34" s="89">
        <f>M19</f>
        <v>600</v>
      </c>
    </row>
    <row r="35" spans="1:13" ht="9" customHeight="1">
      <c r="A35" s="1012" t="s">
        <v>26</v>
      </c>
      <c r="B35" s="90"/>
      <c r="C35" s="72"/>
      <c r="D35" s="1014" t="s">
        <v>72</v>
      </c>
      <c r="E35" s="1015"/>
      <c r="F35" s="1015"/>
      <c r="G35" s="1015"/>
      <c r="H35" s="1016"/>
      <c r="I35" s="1017" t="s">
        <v>30</v>
      </c>
      <c r="J35" s="91"/>
      <c r="K35" s="72"/>
      <c r="L35" s="72"/>
      <c r="M35" s="92"/>
    </row>
    <row r="36" spans="1:13" ht="14.25" customHeight="1">
      <c r="A36" s="1013"/>
      <c r="B36" s="1018" t="s">
        <v>37</v>
      </c>
      <c r="C36" s="1019"/>
      <c r="D36" s="1015"/>
      <c r="E36" s="1015"/>
      <c r="F36" s="1015"/>
      <c r="G36" s="1015"/>
      <c r="H36" s="1016"/>
      <c r="I36" s="1017"/>
      <c r="J36" s="93" t="s">
        <v>73</v>
      </c>
      <c r="K36" s="72"/>
      <c r="L36" s="72"/>
      <c r="M36" s="92"/>
    </row>
    <row r="37" spans="1:13" ht="13.8">
      <c r="A37" s="94"/>
      <c r="B37" s="999" t="s">
        <v>74</v>
      </c>
      <c r="C37" s="999"/>
      <c r="D37" s="999"/>
      <c r="E37" s="999"/>
      <c r="F37" s="999"/>
      <c r="G37" s="999"/>
      <c r="H37" s="1027"/>
      <c r="I37" s="95"/>
      <c r="J37" s="72" t="s">
        <v>75</v>
      </c>
      <c r="K37" s="72"/>
      <c r="L37" s="72"/>
      <c r="M37" s="92"/>
    </row>
    <row r="38" spans="1:13" ht="13.8">
      <c r="A38" s="1028"/>
      <c r="B38" s="72" t="s">
        <v>76</v>
      </c>
      <c r="C38" s="72"/>
      <c r="D38" s="72"/>
      <c r="E38" s="72"/>
      <c r="F38" s="72"/>
      <c r="G38" s="72"/>
      <c r="H38" s="92"/>
      <c r="I38" s="72"/>
      <c r="J38" s="72" t="s">
        <v>77</v>
      </c>
      <c r="K38" s="72"/>
      <c r="L38" s="72"/>
      <c r="M38" s="92"/>
    </row>
    <row r="39" spans="1:13" ht="12.75" customHeight="1">
      <c r="A39" s="1028"/>
      <c r="B39" s="72"/>
      <c r="C39" s="72"/>
      <c r="D39" s="72"/>
      <c r="E39" s="72"/>
      <c r="F39" s="72"/>
      <c r="G39" s="72"/>
      <c r="H39" s="92"/>
      <c r="I39" s="72"/>
      <c r="J39" s="72"/>
      <c r="K39" s="72"/>
      <c r="L39" s="72"/>
      <c r="M39" s="92"/>
    </row>
    <row r="40" spans="1:13" ht="12.75" customHeight="1">
      <c r="A40" s="96"/>
      <c r="B40" s="97"/>
      <c r="C40" s="97"/>
      <c r="D40" s="97"/>
      <c r="E40" s="97"/>
      <c r="F40" s="97"/>
      <c r="G40" s="72"/>
      <c r="H40" s="92"/>
      <c r="I40" s="72"/>
      <c r="J40" s="72"/>
      <c r="K40" s="72"/>
      <c r="L40" s="72"/>
      <c r="M40" s="92"/>
    </row>
    <row r="41" spans="1:13" ht="12.75" customHeight="1">
      <c r="A41" s="96"/>
      <c r="B41" s="72"/>
      <c r="C41" s="72"/>
      <c r="D41" s="72"/>
      <c r="E41" s="72"/>
      <c r="F41" s="72"/>
      <c r="G41" s="72"/>
      <c r="H41" s="92"/>
      <c r="I41" s="72"/>
      <c r="J41" s="72"/>
      <c r="K41" s="72"/>
      <c r="L41" s="72"/>
      <c r="M41" s="92"/>
    </row>
    <row r="42" spans="1:13" ht="13.95" customHeight="1">
      <c r="A42" s="1022" t="s">
        <v>78</v>
      </c>
      <c r="B42" s="906"/>
      <c r="C42" s="1029"/>
      <c r="D42" s="1029"/>
      <c r="E42" s="1029"/>
      <c r="F42" s="1029"/>
      <c r="G42" s="1029"/>
      <c r="H42" s="1030"/>
      <c r="I42" s="72" t="s">
        <v>79</v>
      </c>
      <c r="J42" s="72"/>
      <c r="K42" s="98" t="s">
        <v>80</v>
      </c>
      <c r="L42" s="72"/>
      <c r="M42" s="92"/>
    </row>
    <row r="43" spans="1:13" ht="13.8">
      <c r="A43" s="99"/>
      <c r="B43" s="100"/>
      <c r="C43" s="101"/>
      <c r="D43" s="101"/>
      <c r="E43" s="101"/>
      <c r="F43" s="101"/>
      <c r="G43" s="100"/>
      <c r="H43" s="102"/>
      <c r="I43" s="72"/>
      <c r="J43" s="72"/>
      <c r="K43" s="72"/>
      <c r="L43" s="72"/>
      <c r="M43" s="92"/>
    </row>
    <row r="44" spans="1:13" ht="15" customHeight="1">
      <c r="A44" s="1031" t="s">
        <v>81</v>
      </c>
      <c r="B44" s="1032"/>
      <c r="C44" s="1033" t="s">
        <v>191</v>
      </c>
      <c r="D44" s="1033"/>
      <c r="E44" s="1033"/>
      <c r="F44" s="1033"/>
      <c r="G44" s="1033"/>
      <c r="H44" s="1034"/>
      <c r="I44" s="73" t="s">
        <v>82</v>
      </c>
      <c r="K44" s="1020" t="s">
        <v>83</v>
      </c>
      <c r="L44" s="1020"/>
      <c r="M44" s="1021"/>
    </row>
    <row r="45" spans="1:13" ht="13.8">
      <c r="A45" s="99"/>
      <c r="B45" s="100"/>
      <c r="C45" s="103"/>
      <c r="D45" s="103"/>
      <c r="E45" s="103"/>
      <c r="F45" s="103"/>
      <c r="G45" s="100"/>
      <c r="H45" s="102"/>
      <c r="I45" s="72"/>
      <c r="J45" s="72"/>
      <c r="K45" s="72"/>
      <c r="L45" s="72"/>
      <c r="M45" s="92"/>
    </row>
    <row r="46" spans="1:13" ht="27" customHeight="1">
      <c r="A46" s="1022" t="s">
        <v>84</v>
      </c>
      <c r="B46" s="906"/>
      <c r="C46" s="906" t="s">
        <v>192</v>
      </c>
      <c r="D46" s="906"/>
      <c r="E46" s="906"/>
      <c r="F46" s="906"/>
      <c r="G46" s="906"/>
      <c r="H46" s="907"/>
      <c r="I46" s="290" t="s">
        <v>84</v>
      </c>
      <c r="J46" s="72"/>
      <c r="K46" s="1023" t="s">
        <v>146</v>
      </c>
      <c r="L46" s="1023"/>
      <c r="M46" s="1024"/>
    </row>
    <row r="47" spans="1:13" ht="32.25" customHeight="1">
      <c r="A47" s="99"/>
      <c r="B47" s="100"/>
      <c r="C47" s="906"/>
      <c r="D47" s="906"/>
      <c r="E47" s="906"/>
      <c r="F47" s="906"/>
      <c r="G47" s="906"/>
      <c r="H47" s="907"/>
      <c r="I47" s="72"/>
      <c r="J47" s="72"/>
      <c r="K47" s="1025" t="s">
        <v>85</v>
      </c>
      <c r="L47" s="1025"/>
      <c r="M47" s="1026"/>
    </row>
    <row r="48" spans="1:13" ht="12.75" customHeight="1">
      <c r="A48" s="963" t="s">
        <v>86</v>
      </c>
      <c r="B48" s="964"/>
      <c r="C48" s="1014" t="s">
        <v>87</v>
      </c>
      <c r="D48" s="1014"/>
      <c r="E48" s="1014"/>
      <c r="F48" s="1014"/>
      <c r="G48" s="1014"/>
      <c r="H48" s="1035"/>
      <c r="I48" s="72" t="s">
        <v>88</v>
      </c>
      <c r="J48" s="72"/>
      <c r="K48" s="72" t="s">
        <v>89</v>
      </c>
      <c r="L48" s="72"/>
      <c r="M48" s="92"/>
    </row>
    <row r="49" spans="1:13" ht="14.4" thickBot="1">
      <c r="A49" s="104"/>
      <c r="B49" s="105"/>
      <c r="C49" s="105"/>
      <c r="D49" s="105"/>
      <c r="E49" s="105"/>
      <c r="F49" s="105"/>
      <c r="G49" s="105"/>
      <c r="H49" s="106"/>
      <c r="I49" s="107"/>
      <c r="J49" s="107"/>
      <c r="K49" s="107"/>
      <c r="L49" s="107"/>
      <c r="M49" s="108"/>
    </row>
    <row r="50" spans="1:13" ht="3.75" customHeight="1" thickBot="1">
      <c r="A50" s="109"/>
      <c r="B50" s="75"/>
      <c r="C50" s="110"/>
      <c r="D50" s="110"/>
      <c r="E50" s="110"/>
      <c r="F50" s="110"/>
      <c r="G50" s="110"/>
      <c r="H50" s="110"/>
      <c r="I50" s="110"/>
      <c r="J50" s="110"/>
      <c r="K50" s="110"/>
      <c r="L50" s="110"/>
      <c r="M50" s="111"/>
    </row>
    <row r="51" spans="1:13" ht="14.4" thickBot="1">
      <c r="A51" s="112" t="s">
        <v>36</v>
      </c>
      <c r="B51" s="1036" t="s">
        <v>90</v>
      </c>
      <c r="C51" s="1037"/>
      <c r="D51" s="1037"/>
      <c r="E51" s="1037"/>
      <c r="F51" s="1037"/>
      <c r="G51" s="1037"/>
      <c r="H51" s="1037"/>
      <c r="I51" s="1037"/>
      <c r="J51" s="1037"/>
      <c r="K51" s="1037"/>
      <c r="L51" s="1037"/>
      <c r="M51" s="1038"/>
    </row>
    <row r="52" spans="1:13" ht="13.5" customHeight="1" thickBot="1">
      <c r="A52" s="1039" t="s">
        <v>91</v>
      </c>
      <c r="B52" s="1037"/>
      <c r="C52" s="1037"/>
      <c r="D52" s="1037"/>
      <c r="E52" s="1037"/>
      <c r="F52" s="1037"/>
      <c r="G52" s="1038"/>
      <c r="H52" s="1039" t="s">
        <v>22</v>
      </c>
      <c r="I52" s="1037"/>
      <c r="J52" s="1037"/>
      <c r="K52" s="1037"/>
      <c r="L52" s="1037"/>
      <c r="M52" s="1038"/>
    </row>
    <row r="53" spans="1:13" ht="16.5" customHeight="1">
      <c r="A53" s="911" t="s">
        <v>50</v>
      </c>
      <c r="B53" s="1041" t="s">
        <v>19</v>
      </c>
      <c r="C53" s="1042"/>
      <c r="D53" s="1042"/>
      <c r="E53" s="800" t="s">
        <v>92</v>
      </c>
      <c r="F53" s="906"/>
      <c r="G53" s="907"/>
      <c r="H53" s="911" t="s">
        <v>93</v>
      </c>
      <c r="I53" s="807" t="s">
        <v>94</v>
      </c>
      <c r="J53" s="806"/>
      <c r="K53" s="769" t="s">
        <v>95</v>
      </c>
      <c r="L53" s="1051" t="s">
        <v>96</v>
      </c>
      <c r="M53" s="1052"/>
    </row>
    <row r="54" spans="1:13" ht="32.25" customHeight="1" thickBot="1">
      <c r="A54" s="911"/>
      <c r="B54" s="1041"/>
      <c r="C54" s="1042"/>
      <c r="D54" s="1042"/>
      <c r="E54" s="800"/>
      <c r="F54" s="906"/>
      <c r="G54" s="907"/>
      <c r="H54" s="911"/>
      <c r="I54" s="807"/>
      <c r="J54" s="806"/>
      <c r="K54" s="769"/>
      <c r="L54" s="113" t="s">
        <v>97</v>
      </c>
      <c r="M54" s="114" t="s">
        <v>98</v>
      </c>
    </row>
    <row r="55" spans="1:13" ht="12.75" customHeight="1" thickBot="1">
      <c r="A55" s="1040"/>
      <c r="B55" s="1043"/>
      <c r="C55" s="1044"/>
      <c r="D55" s="1044"/>
      <c r="E55" s="908"/>
      <c r="F55" s="909"/>
      <c r="G55" s="910"/>
      <c r="H55" s="115" t="s">
        <v>99</v>
      </c>
      <c r="I55" s="1053" t="s">
        <v>100</v>
      </c>
      <c r="J55" s="1054"/>
      <c r="K55" s="116" t="s">
        <v>101</v>
      </c>
      <c r="L55" s="117" t="s">
        <v>102</v>
      </c>
      <c r="M55" s="118" t="s">
        <v>103</v>
      </c>
    </row>
    <row r="56" spans="1:13" ht="13.5" customHeight="1">
      <c r="A56" s="175"/>
      <c r="B56" s="1055" t="s">
        <v>193</v>
      </c>
      <c r="C56" s="1056"/>
      <c r="D56" s="1057"/>
      <c r="E56" s="176"/>
      <c r="F56" s="177"/>
      <c r="G56" s="178"/>
      <c r="H56" s="179"/>
      <c r="I56" s="180"/>
      <c r="J56" s="181"/>
      <c r="K56" s="182"/>
      <c r="L56" s="183"/>
      <c r="M56" s="184"/>
    </row>
    <row r="57" spans="1:13" ht="13.5" customHeight="1">
      <c r="A57" s="175"/>
      <c r="B57" s="1058" t="s">
        <v>194</v>
      </c>
      <c r="C57" s="1059"/>
      <c r="D57" s="1060"/>
      <c r="E57" s="176"/>
      <c r="F57" s="177"/>
      <c r="G57" s="178"/>
      <c r="H57" s="185"/>
      <c r="I57" s="186"/>
      <c r="J57" s="187"/>
      <c r="K57" s="183"/>
      <c r="L57" s="183"/>
      <c r="M57" s="188"/>
    </row>
    <row r="58" spans="1:13" ht="13.5" customHeight="1">
      <c r="A58" s="175">
        <f ca="1">NOW()</f>
        <v>45987.565854629633</v>
      </c>
      <c r="B58" s="1058" t="s">
        <v>195</v>
      </c>
      <c r="C58" s="1059"/>
      <c r="D58" s="1060"/>
      <c r="E58" s="1061"/>
      <c r="F58" s="1062"/>
      <c r="G58" s="1063"/>
      <c r="H58" s="189">
        <f>M34</f>
        <v>600</v>
      </c>
      <c r="I58" s="186"/>
      <c r="J58" s="187"/>
      <c r="K58" s="190">
        <f>H58</f>
        <v>600</v>
      </c>
      <c r="L58" s="183"/>
      <c r="M58" s="191">
        <f>K58</f>
        <v>600</v>
      </c>
    </row>
    <row r="59" spans="1:13" ht="13.5" customHeight="1">
      <c r="A59" s="175"/>
      <c r="B59" s="1045"/>
      <c r="C59" s="1046"/>
      <c r="D59" s="1047"/>
      <c r="E59" s="176"/>
      <c r="F59" s="177"/>
      <c r="G59" s="178"/>
      <c r="H59" s="185"/>
      <c r="I59" s="186"/>
      <c r="J59" s="187"/>
      <c r="K59" s="183"/>
      <c r="L59" s="192"/>
      <c r="M59" s="188"/>
    </row>
    <row r="60" spans="1:13" ht="13.5" customHeight="1">
      <c r="A60" s="193"/>
      <c r="B60" s="1064" t="str">
        <f>Source!A6</f>
        <v>November 14-15, 18 and 22-23, 2022</v>
      </c>
      <c r="C60" s="1065"/>
      <c r="D60" s="1066"/>
      <c r="E60" s="180"/>
      <c r="F60" s="177"/>
      <c r="G60" s="178"/>
      <c r="H60" s="185"/>
      <c r="I60" s="180"/>
      <c r="J60" s="181"/>
      <c r="K60" s="182"/>
      <c r="L60" s="182"/>
      <c r="M60" s="178"/>
    </row>
    <row r="61" spans="1:13" ht="13.5" customHeight="1">
      <c r="A61" s="193"/>
      <c r="B61" s="1064"/>
      <c r="C61" s="1065"/>
      <c r="D61" s="1066"/>
      <c r="E61" s="180"/>
      <c r="F61" s="177"/>
      <c r="G61" s="178"/>
      <c r="H61" s="185"/>
      <c r="I61" s="180"/>
      <c r="J61" s="181"/>
      <c r="K61" s="182"/>
      <c r="L61" s="182"/>
      <c r="M61" s="178"/>
    </row>
    <row r="62" spans="1:13" ht="13.5" customHeight="1" thickBot="1">
      <c r="A62" s="194"/>
      <c r="B62" s="1048"/>
      <c r="C62" s="1049"/>
      <c r="D62" s="1050"/>
      <c r="E62" s="195"/>
      <c r="F62" s="196"/>
      <c r="G62" s="197"/>
      <c r="H62" s="198"/>
      <c r="I62" s="195"/>
      <c r="J62" s="199"/>
      <c r="K62" s="200"/>
      <c r="L62" s="200"/>
      <c r="M62" s="197"/>
    </row>
  </sheetData>
  <mergeCells count="114">
    <mergeCell ref="B59:D59"/>
    <mergeCell ref="B62:D62"/>
    <mergeCell ref="K53:K54"/>
    <mergeCell ref="L53:M53"/>
    <mergeCell ref="I55:J55"/>
    <mergeCell ref="B56:D56"/>
    <mergeCell ref="B57:D57"/>
    <mergeCell ref="B58:D58"/>
    <mergeCell ref="E58:G58"/>
    <mergeCell ref="B60:D61"/>
    <mergeCell ref="A48:B48"/>
    <mergeCell ref="C48:H48"/>
    <mergeCell ref="B51:M51"/>
    <mergeCell ref="A52:G52"/>
    <mergeCell ref="H52:M52"/>
    <mergeCell ref="A53:A55"/>
    <mergeCell ref="B53:D55"/>
    <mergeCell ref="E53:G55"/>
    <mergeCell ref="H53:H54"/>
    <mergeCell ref="I53:J54"/>
    <mergeCell ref="K44:M44"/>
    <mergeCell ref="A46:B46"/>
    <mergeCell ref="C46:H46"/>
    <mergeCell ref="K46:M46"/>
    <mergeCell ref="C47:H47"/>
    <mergeCell ref="K47:M47"/>
    <mergeCell ref="B37:H37"/>
    <mergeCell ref="A38:A39"/>
    <mergeCell ref="A42:B42"/>
    <mergeCell ref="C42:H42"/>
    <mergeCell ref="A44:B44"/>
    <mergeCell ref="C44:H44"/>
    <mergeCell ref="A34:C34"/>
    <mergeCell ref="D34:H34"/>
    <mergeCell ref="I34:J34"/>
    <mergeCell ref="A35:A36"/>
    <mergeCell ref="D35:H36"/>
    <mergeCell ref="I35:I36"/>
    <mergeCell ref="B36:C36"/>
    <mergeCell ref="A32:C32"/>
    <mergeCell ref="D32:H32"/>
    <mergeCell ref="I32:J32"/>
    <mergeCell ref="A33:C33"/>
    <mergeCell ref="D33:H33"/>
    <mergeCell ref="I33:J33"/>
    <mergeCell ref="A30:C30"/>
    <mergeCell ref="D30:H30"/>
    <mergeCell ref="I30:J30"/>
    <mergeCell ref="A31:C31"/>
    <mergeCell ref="D31:H31"/>
    <mergeCell ref="I31:J31"/>
    <mergeCell ref="A28:C28"/>
    <mergeCell ref="D28:H28"/>
    <mergeCell ref="I28:J28"/>
    <mergeCell ref="A29:C29"/>
    <mergeCell ref="D29:H29"/>
    <mergeCell ref="I29:J29"/>
    <mergeCell ref="A26:C26"/>
    <mergeCell ref="D26:H26"/>
    <mergeCell ref="I26:J26"/>
    <mergeCell ref="A27:C27"/>
    <mergeCell ref="D27:H27"/>
    <mergeCell ref="I27:J27"/>
    <mergeCell ref="A24:C24"/>
    <mergeCell ref="D24:H24"/>
    <mergeCell ref="I24:J24"/>
    <mergeCell ref="A25:C25"/>
    <mergeCell ref="D25:H25"/>
    <mergeCell ref="I25:J25"/>
    <mergeCell ref="A22:C22"/>
    <mergeCell ref="D22:H22"/>
    <mergeCell ref="I22:J22"/>
    <mergeCell ref="A23:C23"/>
    <mergeCell ref="D23:H23"/>
    <mergeCell ref="I23:J23"/>
    <mergeCell ref="A20:C20"/>
    <mergeCell ref="I20:J20"/>
    <mergeCell ref="A21:C21"/>
    <mergeCell ref="D21:H21"/>
    <mergeCell ref="I21:J21"/>
    <mergeCell ref="A18:C18"/>
    <mergeCell ref="I18:J18"/>
    <mergeCell ref="A19:C19"/>
    <mergeCell ref="I19:J19"/>
    <mergeCell ref="A16:C16"/>
    <mergeCell ref="I16:J16"/>
    <mergeCell ref="A17:C17"/>
    <mergeCell ref="I17:J17"/>
    <mergeCell ref="D16:H20"/>
    <mergeCell ref="A14:C14"/>
    <mergeCell ref="D14:H14"/>
    <mergeCell ref="I14:J14"/>
    <mergeCell ref="A15:C15"/>
    <mergeCell ref="D15:H15"/>
    <mergeCell ref="I15:J15"/>
    <mergeCell ref="A10:C11"/>
    <mergeCell ref="D10:M11"/>
    <mergeCell ref="A12:C13"/>
    <mergeCell ref="D12:H13"/>
    <mergeCell ref="I12:J13"/>
    <mergeCell ref="K12:K13"/>
    <mergeCell ref="L12:M13"/>
    <mergeCell ref="A5:J5"/>
    <mergeCell ref="K5:M5"/>
    <mergeCell ref="A6:C7"/>
    <mergeCell ref="D6:M7"/>
    <mergeCell ref="A8:C9"/>
    <mergeCell ref="D8:M9"/>
    <mergeCell ref="L1:M1"/>
    <mergeCell ref="L2:M2"/>
    <mergeCell ref="A3:J3"/>
    <mergeCell ref="K3:M3"/>
    <mergeCell ref="A4:J4"/>
    <mergeCell ref="K4:M4"/>
  </mergeCells>
  <printOptions horizontalCentered="1"/>
  <pageMargins left="0.25" right="0.25" top="0.75" bottom="0.75" header="0.3" footer="0.3"/>
  <pageSetup paperSize="9" scale="81" orientation="portrait" r:id="rId1"/>
  <headerFooter>
    <oddFooter>&amp;C&amp;"Times New Roman,Regular"&amp;14 42</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8"/>
  <sheetViews>
    <sheetView workbookViewId="0">
      <selection activeCell="H44" sqref="H44:H45"/>
    </sheetView>
  </sheetViews>
  <sheetFormatPr defaultRowHeight="13.2"/>
  <cols>
    <col min="1" max="1" width="61" customWidth="1"/>
    <col min="2" max="2" width="31.5546875" customWidth="1"/>
  </cols>
  <sheetData>
    <row r="1" spans="1:2">
      <c r="A1" s="292" t="s">
        <v>199</v>
      </c>
      <c r="B1" s="136" t="s">
        <v>14</v>
      </c>
    </row>
    <row r="2" spans="1:2">
      <c r="A2" s="292" t="s">
        <v>198</v>
      </c>
      <c r="B2" s="136" t="s">
        <v>46</v>
      </c>
    </row>
    <row r="3" spans="1:2">
      <c r="B3" s="136" t="s">
        <v>163</v>
      </c>
    </row>
    <row r="4" spans="1:2">
      <c r="A4" s="292" t="s">
        <v>191</v>
      </c>
      <c r="B4" s="136" t="s">
        <v>130</v>
      </c>
    </row>
    <row r="5" spans="1:2">
      <c r="A5" s="292" t="s">
        <v>192</v>
      </c>
      <c r="B5" s="136" t="s">
        <v>46</v>
      </c>
    </row>
    <row r="6" spans="1:2">
      <c r="A6" s="293" t="s">
        <v>213</v>
      </c>
      <c r="B6" s="136" t="s">
        <v>164</v>
      </c>
    </row>
    <row r="7" spans="1:2">
      <c r="A7" s="292" t="s">
        <v>214</v>
      </c>
      <c r="B7" s="136" t="s">
        <v>141</v>
      </c>
    </row>
    <row r="8" spans="1:2">
      <c r="A8" s="292" t="s">
        <v>215</v>
      </c>
      <c r="B8" s="136" t="s">
        <v>162</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IT (2)</vt:lpstr>
      <vt:lpstr>CTC (2)</vt:lpstr>
      <vt:lpstr>DV (2)</vt:lpstr>
      <vt:lpstr>burs r 3 (2)</vt:lpstr>
      <vt:lpstr>obs r 3</vt:lpstr>
      <vt:lpstr>IT</vt:lpstr>
      <vt:lpstr>Certification 1</vt:lpstr>
      <vt:lpstr>burs 3</vt:lpstr>
      <vt:lpstr>Certification ('1) (2)</vt:lpstr>
      <vt:lpstr>Certification ('1) (3)</vt:lpstr>
      <vt:lpstr>Certification (2)</vt:lpstr>
      <vt:lpstr>Certification ('1)</vt:lpstr>
      <vt:lpstr>ORS</vt:lpstr>
      <vt:lpstr>Source</vt:lpstr>
      <vt:lpstr>'burs 3'!Print_Area</vt:lpstr>
      <vt:lpstr>'burs r 3 (2)'!Print_Area</vt:lpstr>
      <vt:lpstr>'Certification (''1)'!Print_Area</vt:lpstr>
      <vt:lpstr>'Certification (''1) (2)'!Print_Area</vt:lpstr>
      <vt:lpstr>'Certification (''1) (3)'!Print_Area</vt:lpstr>
      <vt:lpstr>'Certification (2)'!Print_Area</vt:lpstr>
      <vt:lpstr>'Certification 1'!Print_Area</vt:lpstr>
      <vt:lpstr>'DV (2)'!Print_Area</vt:lpstr>
      <vt:lpstr>IT!Print_Area</vt:lpstr>
      <vt:lpstr>'IT (2)'!Print_Area</vt:lpstr>
      <vt:lpstr>'obs r 3'!Print_Area</vt:lpstr>
      <vt:lpstr>ORS!Print_Area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CTAS Office</dc:creator>
  <cp:lastModifiedBy>ROGER AMOLATO</cp:lastModifiedBy>
  <cp:lastPrinted>2025-11-08T05:28:48Z</cp:lastPrinted>
  <dcterms:created xsi:type="dcterms:W3CDTF">2019-01-29T01:00:41Z</dcterms:created>
  <dcterms:modified xsi:type="dcterms:W3CDTF">2025-11-26T08:07:26Z</dcterms:modified>
</cp:coreProperties>
</file>